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064c0c3e507df26/Documents/COVEX/PYTHON/"/>
    </mc:Choice>
  </mc:AlternateContent>
  <xr:revisionPtr revIDLastSave="18" documentId="11_779D8FE1D078160F62355476585DCE3A87430427" xr6:coauthVersionLast="47" xr6:coauthVersionMax="47" xr10:uidLastSave="{BDCF3B5F-5D65-49BC-B9DD-74482E700CDD}"/>
  <bookViews>
    <workbookView xWindow="-120" yWindow="-120" windowWidth="38640" windowHeight="2112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1" i="1" l="1"/>
</calcChain>
</file>

<file path=xl/sharedStrings.xml><?xml version="1.0" encoding="utf-8"?>
<sst xmlns="http://schemas.openxmlformats.org/spreadsheetml/2006/main" count="2417" uniqueCount="1277">
  <si>
    <t>Property Name</t>
  </si>
  <si>
    <t>Latitude</t>
  </si>
  <si>
    <t>Longitude</t>
  </si>
  <si>
    <t>Locale</t>
  </si>
  <si>
    <t>Distance From Nearest Center</t>
  </si>
  <si>
    <t>Commodity 1</t>
  </si>
  <si>
    <t>Commodity 2</t>
  </si>
  <si>
    <t>Commodity 3</t>
  </si>
  <si>
    <t>Status</t>
  </si>
  <si>
    <t>Reserves</t>
  </si>
  <si>
    <t>Geology Classification</t>
  </si>
  <si>
    <t>Geology Description</t>
  </si>
  <si>
    <t>MNERU WANITPA</t>
  </si>
  <si>
    <t>A LARGE AREA BETWEEN LAKES MNERU WANITPA AND TANGANYIXA</t>
  </si>
  <si>
    <t>THE SOUTH BOUNDARY IS APPROXIMATELY 30 KM NORTH OF Mporokoso</t>
  </si>
  <si>
    <t>DIAMOND</t>
  </si>
  <si>
    <t>INACTIVE</t>
  </si>
  <si>
    <t>UNKNOWN</t>
  </si>
  <si>
    <t>DIAMOND OCCURRENCE</t>
  </si>
  <si>
    <t>Mineralization: DIAMOND; Formation: THE AREA IS UNDERLAIN BY MPOROKOSO GROUP.</t>
  </si>
  <si>
    <t>KASANGULA (KASONGOLE)</t>
  </si>
  <si>
    <t>NORTHWEST OF LAKE AMERU VANITIPA</t>
  </si>
  <si>
    <t>NEAR THE NORTH BORDER OF ZANGIA WITH ZAIRE</t>
  </si>
  <si>
    <t>NIL</t>
  </si>
  <si>
    <t>KIMBERLITE OCCURRENCE</t>
  </si>
  <si>
    <t>NOT RESEARCHED</t>
  </si>
  <si>
    <t>CHIMPATIKA (MUERU COPPER)</t>
  </si>
  <si>
    <t>EAST OF LAKE MUERU</t>
  </si>
  <si>
    <t>18 KM NORTH OF CHIENJE</t>
  </si>
  <si>
    <t>COPPER</t>
  </si>
  <si>
    <t>COPPER ASSOCIATED WITH KAROO FAULTING</t>
  </si>
  <si>
    <t>Mineralization: COPPER.</t>
  </si>
  <si>
    <t>NCHELENGE</t>
  </si>
  <si>
    <t>BORDERS ON THE SE SHORE OF LAKE AMERU</t>
  </si>
  <si>
    <t>THE TOWN OF Nchelenge IS IN THE CENTRE OF THE AREA</t>
  </si>
  <si>
    <t>Rock types: GRANITE, SANDSTONE; Formation: BASEMENT GRANITE AND PORPHTRY ARE OVERLAIN UNCOMFORTABLY BY THE MPOROKOSO GROUP.</t>
  </si>
  <si>
    <t>CHIBOTE (KANANAMPANGO)</t>
  </si>
  <si>
    <t>51 KM EAST OF KANANBBUA</t>
  </si>
  <si>
    <t>250 KM NNE OF Mansa</t>
  </si>
  <si>
    <t>IRON</t>
  </si>
  <si>
    <t>AT LEAST 50 MILLION T @ 61% FE ACCORDING TO ANGLO AMERICAN</t>
  </si>
  <si>
    <t>IRON FORMATION</t>
  </si>
  <si>
    <t>Reserves: 50 MILLION T.</t>
  </si>
  <si>
    <t>KALUNGUISHI</t>
  </si>
  <si>
    <t>THE KALUNGUISHI RIVER BISECTS THE AREA</t>
  </si>
  <si>
    <t>THE CENTRE OF THE AREA IS 50 KM N LUMINGJ. A ROAD CONNECTING CHIBOTE AND KALABUE CUTS NN CORN</t>
  </si>
  <si>
    <t>THE PL IS IN THE LUONGO FOLD BELT WITHIN THE BANGWEULU BLOCK. SEDIMENTS OF THE MPDROXOSO GROUP, MAINLY SANDSTONES, UNDERLIE THE ENTIRE AREA.</t>
  </si>
  <si>
    <t>LUPANSA</t>
  </si>
  <si>
    <t>EAST OF THE KALUNGUISHI PL</t>
  </si>
  <si>
    <t>25 KM SOUTH OF Mporokoso</t>
  </si>
  <si>
    <t>TWO SMALL DIAMONDS WERE FOUND IN THE LUPANSA RIVER DURING PROSPECTING BY DE BEERS IN THE KALUNGUISHI PL (SEE).</t>
  </si>
  <si>
    <t>IMACTIVE</t>
  </si>
  <si>
    <t>CHOZI RIVER</t>
  </si>
  <si>
    <t>ON THE CHOZI RIVER NEAR THE TANZANIAN BORDER</t>
  </si>
  <si>
    <t>MIDWAY BETWEEN Mbala AND MAXONDE</t>
  </si>
  <si>
    <t>MILL</t>
  </si>
  <si>
    <t>Rock: Granite; Formation: Mporokoso Group</t>
  </si>
  <si>
    <t>SERGA HILL</t>
  </si>
  <si>
    <t>HEADMATERS OF CHAMBESHI RIVER</t>
  </si>
  <si>
    <t>94 KM NORTH OF KASANA</t>
  </si>
  <si>
    <t>GOLD</t>
  </si>
  <si>
    <t>TIN</t>
  </si>
  <si>
    <t>URANIUM (?)</t>
  </si>
  <si>
    <t>GOLD PALEOPLACER</t>
  </si>
  <si>
    <t>Rock: Sandstone, Quartzite; Minerals: Gold; Formation: Mporokoso Group</t>
  </si>
  <si>
    <t>MAFINGA</t>
  </si>
  <si>
    <t>NEAR HEADWATERS OF THE LUANGUA RIVER</t>
  </si>
  <si>
    <t>25 KM NE OF Isoka ON MAIN ROAD TO CHITIPA IN MALAUI</t>
  </si>
  <si>
    <t>Rock types: METASEDIMENT; Formation: IN THE SOUTHEAST ARE PROMINENT HILLS OF MAFINGI GROUP.</t>
  </si>
  <si>
    <t>KAFINSA (CHITIRA)</t>
  </si>
  <si>
    <t>SOUTH OF THE LUONGO RIVER</t>
  </si>
  <si>
    <t>45 KN WEST OF LUMINGU</t>
  </si>
  <si>
    <t>MIL</t>
  </si>
  <si>
    <t>Rock types: GRANITE, SANDSTONE, SHALE; Mineralization: DIAMOND; Formation: IS UNDERLAIN BY MPOROKOSO GROUP.</t>
  </si>
  <si>
    <t>ISOKA</t>
  </si>
  <si>
    <t>SOUTH OF ISOKA</t>
  </si>
  <si>
    <t>THE TOWN OF Isoka FALLS IS WITHIN THE PL NEAR ITS NORTH EDGE</t>
  </si>
  <si>
    <t>KIMBERLITE SHARN</t>
  </si>
  <si>
    <t>Rock types: GRANITE; Mineralization: DIAMOND.</t>
  </si>
  <si>
    <t>NKOMSUA HILL</t>
  </si>
  <si>
    <t>1500A DISTRICT</t>
  </si>
  <si>
    <t>35 KM EAST OF 1500A</t>
  </si>
  <si>
    <t>NIOBIUM</t>
  </si>
  <si>
    <t>PHOSPHATE</t>
  </si>
  <si>
    <t>ALTHOUGH SAMPLES OF OVER 1% NB205 ARE REPORTED THE AVERAGE GRADE OF THE WHOLE CARBONATITE IS REPORTED BY WRIGHT TO BE 0.16% NB205. THIS IS A RESOURCE OF &gt;700,000 T NB205. THE PYROCHLORE IS FINE GRAINED AND METALLURGICAL TESTS WERE UNABLE TO ACHIEVE ACCEPTABLE RECOVERIES. THERE ARE POCKETS OF RESIDUAL CONCENTRATIONS AND AREAS WHERE SELECTIVE MINING MIGHT ACHIEVE GRADES OF 0.3 TO 0.4% NB205.</t>
  </si>
  <si>
    <t>CARBONATITE</t>
  </si>
  <si>
    <t>MUTENBULA</t>
  </si>
  <si>
    <t>KAMANGU AREA</t>
  </si>
  <si>
    <t>120 KM SU OF 150KA</t>
  </si>
  <si>
    <t>MANGAWESE</t>
  </si>
  <si>
    <t>NONE</t>
  </si>
  <si>
    <t>SEDIMENTARY MANGAWESE</t>
  </si>
  <si>
    <t>Rock types: QUARTZITE, SCHIST, METASEDIMENT; Mineralization: IRON.</t>
  </si>
  <si>
    <t>SITUE</t>
  </si>
  <si>
    <t>IN OR NEAR THE SITUE RIVER</t>
  </si>
  <si>
    <t>45 KM NORTH OF Chama NEAR THE MALAUI BORDER</t>
  </si>
  <si>
    <t>RUMOURED ALLUVIAL DIAMOND OCCURRENCE</t>
  </si>
  <si>
    <t>NUJIMBEJ1 M22/A</t>
  </si>
  <si>
    <t>5 KM EAST OF THE MUINILUNGA MIAMBU ROAD</t>
  </si>
  <si>
    <t>58 KM ESE OF MUINILUNGA</t>
  </si>
  <si>
    <t>MULTBDENUM</t>
  </si>
  <si>
    <t>MICKEL</t>
  </si>
  <si>
    <t>STRATIFORM COPPER-SUPERCENE ENRICHED</t>
  </si>
  <si>
    <t>Rock types: QUARTZITE, SCHIST, LIMESTONE; Mineralization: COPPER, MALACHITE, CHALCOPYRITE.</t>
  </si>
  <si>
    <t>LUAMATA</t>
  </si>
  <si>
    <t>SC-35-13 MAINILUNGA</t>
  </si>
  <si>
    <t>18 KM SSE OF MAINILUNGA</t>
  </si>
  <si>
    <t>COBALT</t>
  </si>
  <si>
    <t>STRATIFORM COPPER ?</t>
  </si>
  <si>
    <t>Rock types: QUARTZITE, SHALE, CONGLOMERATE; Mineralization: COPPER, DIAMOND, IRON.</t>
  </si>
  <si>
    <t>CHISASA GROUP</t>
  </si>
  <si>
    <t>SM, NM AND NE OF CHISASA SCHOOL</t>
  </si>
  <si>
    <t>100 KM WNV OF Solwezi</t>
  </si>
  <si>
    <t>RESERVES ACCORDING TO TIKA LTD: CHISASA NO 1, 7.5 KM NM OF CHISASA: POSSIBLE 173,000 T @ 66.6% FE CHISASA NO 9, 4 KM N OF CHISASA: PROVEN 174,000 T @ 69.1% FE POSSIBLE 216,000 T @ 69.4% FE CHISASA NO 16, 12.5 KM NE OF CHISASA: PROVEN 68,000 T @ 60.9% FE POSSIBLE 43,000 T @ 60.9% FE CHISASA NO 18, 21 KM NE OF CHISASA: PROVEN 320,000 T @ 52.4% FE POSSIBLE 301,000 T @ 51.2% FE CHISASA NO 18A: PROVEN 293,000 T @ 58.9% FE PROBABLE 398,000 T @ 57.1% FE CHISASA NO 18B: PROVEN 1,721,000 T @ 57.1% FE PROBABLE 903,000 T @ 58.1% FE POSSIBLE 36,000 T @ 62.5% FE CHISASA NO 18C: POSSIBLE 127,000 T @ 61.3% FE VANTUNTU, 3 KM SE OF CHISASA NO 18: POSSIBLE 100,000 T @ 64.6% FE CHISASA NO 22, 25 KM N OF CHISASA: PROVEN 145,000 T @ 60.0% FE CHISASA NO 23, 10 KM NM OF CHISASA: PROVEN 153,000 T @ 63.2% FE POSSIBLE 192,000 T @ 63.2% FE KALUMBILA NO 1, ON MANAGESHI RIVER, 20 KM SN OF CHISASA: POSSIBLE 168,000 T @ APPROX 70% FE KALUMBILA NO 3, 30 KM SN OF CHISASA: POSSIBLE 71,000 T @ 67.6% FE KALUMBILA NO 5, 38 KM SN OF CHISASA: PROVEN 331,000 T @ 58.7% FE PROBABLE 150,000 T @ 58.7% FE KALUMBILA NO 6, 41 KM SN OF CHISASA PROVEN 109,000 T @ 63% FE KALUMBILA NO 7,8 AND 8A, 5 KM SE OF KALUMBILA NO 6: PROVEN 198,000 T a 55.6X FE PROBABLE 625,000 T a 57.9X FE POSSIBLE 159,000 T a 58.3X FE KALUMBILA NO 0, 25 KM S OF KALUMBILA 7: POSSIBLE 212,000 T a 50X FE CHONGNE NO 2, 12 KM NN OF KALUMBILA NO 6: POSSIBLE 50,000 T a NIGH GRADE</t>
  </si>
  <si>
    <t>REPLACEMENT-TYPE IRON FORMATION</t>
  </si>
  <si>
    <t>Mineralization: IRON, MAGNETITE, HEMATITE.</t>
  </si>
  <si>
    <t>CHISALE IRON</t>
  </si>
  <si>
    <t>ENE OF KANSANSHI</t>
  </si>
  <si>
    <t>26 KM NORTHEAST OF SOLVEZI</t>
  </si>
  <si>
    <t>VEIN TYPE IRON DEPOSITS</t>
  </si>
  <si>
    <t>SE TRENDING BELT 30 X 6.5 KM CONTAINING NUMEROUS SMALL KOPJES OF HEMATITE. THE MAIN SHOWING IS A HEMATITE VEIN &gt;1.6 KM LONG.</t>
  </si>
  <si>
    <t>MANSA FIELD (LUICHIRA)</t>
  </si>
  <si>
    <t>MANSA AREA</t>
  </si>
  <si>
    <t>AOJACENT AND TO THE NORTHEAST OF THE TOWN OF Mansa</t>
  </si>
  <si>
    <t>VEIN-TYPE MANGAWESE ORES</t>
  </si>
  <si>
    <t>Rock types: GRANITE.</t>
  </si>
  <si>
    <t>LUAPULA AREA (ESP. BUKANDA</t>
  </si>
  <si>
    <t>BETWEEN LAKE NMEHU (IN THE NORTH) AND LAKE BANGNEULU (IN THE SOUTH)</t>
  </si>
  <si>
    <t>BUKANDA (NEAR THE CENTER OF THE AREA) IS ABOUT 35 KM WEST OF Mansa</t>
  </si>
  <si>
    <t>ZINC</t>
  </si>
  <si>
    <t>IN THE LATE 1950S, MANGAWESE RESERVES AT MASHIMBA WERE ESTIMATED BY RST AT ABOUT 280,000 LONG TONS OF PROVEN + INFERRED MINERALIZATION, TO A DEPTH OF 50 FT. THESE WERE PROBABLY DEPLETED DURING THE ENSUING YEARS OF MINIM</t>
  </si>
  <si>
    <t>SEDIMENT AND GRANITE-HOSTED LEAD</t>
  </si>
  <si>
    <t>ZINC AND COPPER &amp; GRANITE-HOSTED MANGAWESE</t>
  </si>
  <si>
    <t>LUAPULA IRON</t>
  </si>
  <si>
    <t>20 KM WEST OF THE LUAPULA RIVER</t>
  </si>
  <si>
    <t>51 KM SU OF MansaS</t>
  </si>
  <si>
    <t>IRON OCCURRENCE</t>
  </si>
  <si>
    <t>Mineralization: MAGNETITE.</t>
  </si>
  <si>
    <t>SHINA MGANDU</t>
  </si>
  <si>
    <t>NE OF SHINA MGANDU VILLAGE, HEADMATERS OF MANSHA AND LUBU RIVERS</t>
  </si>
  <si>
    <t>ON GREAT NORTH ROAD MIDWAY BETWEEN Mpika AND Isoka</t>
  </si>
  <si>
    <t>ALTHOUGH THERE IS NO POTENTIAL FOR ECONOMIC EXPLOITATION, THE BULK SAMPLING OF GRAVELS YIELDED 0.0171 C OF ALUVIAL DIAMONDS PER 100 T OF GRAVELS.</t>
  </si>
  <si>
    <t>ALUVIAL DIAMOND LOCALITY</t>
  </si>
  <si>
    <t>Mineralization: DIAMOND; Formation: BENEATH WHICH ARE THE OLDER FOLDED ROCKS OF THE MANSHA RIVER GROUP.</t>
  </si>
  <si>
    <t>KABALE (KANCHIBYA)</t>
  </si>
  <si>
    <t>SOUTH OF THE KABALE STREAM, A TRIBUTARY OF THE KANCHIBYA</t>
  </si>
  <si>
    <t>45 KM NORTH OF Mpika</t>
  </si>
  <si>
    <t>SPECULATIVE</t>
  </si>
  <si>
    <t>DIAMOND/FEROUS KIMBERLITE</t>
  </si>
  <si>
    <t>Rock: Sandstone, Quartzite; Minerals: Diamond; Formation: River Group</t>
  </si>
  <si>
    <t>MPIKA - LUMANALA</t>
  </si>
  <si>
    <t>NORTH OF THE ROAD RUNNING WEST FROM SHIMA NGANDU</t>
  </si>
  <si>
    <t>75 KM NORTH OF Mpika</t>
  </si>
  <si>
    <t>Rock types: SANDSTONE, METASEDIMENT; Mineralization: DIAMOND; Formation: LUITIKILA GROUP.</t>
  </si>
  <si>
    <t>MANYINGA</t>
  </si>
  <si>
    <t>EMBRACES THE MAWINGA STREAM, WHICH FLOWS SOUTH INTO THE KABOWPO</t>
  </si>
  <si>
    <t>THE SOUTH LIMIT OF THE PL IS 15 KM NORTH OF KABOWPO</t>
  </si>
  <si>
    <t>MUJIMBEJI MSO/F</t>
  </si>
  <si>
    <t>10 KM EAST OF THE MUINILUNGA NTAWBU ROAD</t>
  </si>
  <si>
    <t>70 KM SE OF MUINILUNGA</t>
  </si>
  <si>
    <t>STRATIFORM COPPER</t>
  </si>
  <si>
    <t>THE PROPERTY IS LOCATED ON THE VEST SIDE OF THE KABOMPO DOME, AND IS UNDERLAIN BY CALCAREOUS ROCKS A...</t>
  </si>
  <si>
    <t>KALABA</t>
  </si>
  <si>
    <t>14 KM WEST OF THE MAINILUNGA NTANBU ROAD</t>
  </si>
  <si>
    <t>70 KM SE OF MAINILUNGA</t>
  </si>
  <si>
    <t>URANIUM</t>
  </si>
  <si>
    <t>Mineralization: COPPER, MALACHITE, CHALCOPYRITE.</t>
  </si>
  <si>
    <t>WEST LUNGA IRON</t>
  </si>
  <si>
    <t>WEST LUNGA AREA</t>
  </si>
  <si>
    <t>SOUTH OF MUINILUNGA</t>
  </si>
  <si>
    <t>IRON DEPOSITS</t>
  </si>
  <si>
    <t>CHILLIAMANOMBO (NK 36/D)</t>
  </si>
  <si>
    <t>8 KN EAST OF THE MUNILUNGA KABONPO ROAD</t>
  </si>
  <si>
    <t>58 KN SOUTH OF MUNILUNGA</t>
  </si>
  <si>
    <t>SEDIMENT-HOSTED COPPER</t>
  </si>
  <si>
    <t>SEE ABOVE</t>
  </si>
  <si>
    <t>WEST LUNGA DIAMONDS</t>
  </si>
  <si>
    <t>SOUTH OF MAINILUNGA, NORTH OF THE WEST LUNGA NATIONAL PARK</t>
  </si>
  <si>
    <t>45 TO 75 KM SOUTH OF MAINILUNGA</t>
  </si>
  <si>
    <t>Rock: Dolomite</t>
  </si>
  <si>
    <t>K7</t>
  </si>
  <si>
    <t>40 KM EAST OF THE KABOWPO MUNIILUNGA ROAD</t>
  </si>
  <si>
    <t>105 KM NE OF KABOWPO</t>
  </si>
  <si>
    <t>INSIGNIFICANT ANOMALY</t>
  </si>
  <si>
    <t>Rock types: CONGLOMERATE; Mineralization: MALACHITE.</t>
  </si>
  <si>
    <t>M49/B</t>
  </si>
  <si>
    <t>110 KM SOUTH OF MAINILUNGA</t>
  </si>
  <si>
    <t>COPPER ANOMALY</t>
  </si>
  <si>
    <t>THE CLEARING HAS ANOMALOUS DRAINAGE AND ANTRILL SAMPLES PITS SOUTH AND WEST OF THE CLEARING HAVE UP TO 1,000 PPM CU</t>
  </si>
  <si>
    <t>No description available</t>
  </si>
  <si>
    <t>KABARISA</t>
  </si>
  <si>
    <t>7 KM NE OF MALUNDNE ON THE ROAD TO AIRSTRIP</t>
  </si>
  <si>
    <t>APPROXIMATELY 80 KM WEST OF SOLVEZI</t>
  </si>
  <si>
    <t>AMETHYST</t>
  </si>
  <si>
    <t>ENERALD (?)</t>
  </si>
  <si>
    <t>COPPER-BEARING SCHISTS AND ULTRAWAFIC ROCKS</t>
  </si>
  <si>
    <t>Rock types: SCHIST; Mineralization: COPPER, CHALCOPYRITE, PYRITE.</t>
  </si>
  <si>
    <t>LUMIANA CHIMIWANGO</t>
  </si>
  <si>
    <t>8 KM SE OF MALUNDAE</t>
  </si>
  <si>
    <t>60 KM WEST OF Solwezi</t>
  </si>
  <si>
    <t>URAMIUM</t>
  </si>
  <si>
    <t>RTZ CONSULTANTS ESTIMATE A NINEABLE RESERVE OF 490.6 MILLION TOWNS CONTAINED IN TWO DEPOSITS; CHIMIWANGO SOUTH CONTAINING 97.5 MILLION TOWNS 0.1.01X COPPER, WITH A VASTE/ORE RATIO OF 6.8:1 AND CHIMIWANGO NORTH CONTAINING 393.1 MILLION TOWNS 0.75X COPPER, WITH A VASTE/ORE RATIO OF 5.0:1. AGIP ESTIMATE A RESERVE OF 13.28 MILLION TOWNS 0.1.2X COPPER, WITH A VASTE/ORE RATIO OF 4.1:1. SEE MALUNDAE DESCRIPTION FOR MORE DETAILS.</t>
  </si>
  <si>
    <t>GEOLOGICALLY SIMILAR TO THE MALUNDAE DEPOSIT LOCATED 8 KM TO THE NM.</t>
  </si>
  <si>
    <t>LUNHANA LUBUE</t>
  </si>
  <si>
    <t>16 KM EAST OF MALUNDUE</t>
  </si>
  <si>
    <t>48 KM WEST OF SOLVEZI</t>
  </si>
  <si>
    <t>FREEMAN (1988-2) ESTIMATED A RESOURCE OF 70 MILLION TONNES @ 0.8X COPPER.</t>
  </si>
  <si>
    <t>Rock types: SCHIST, GNEISS, DOLOMITE; Mineralization: COPPER, CHALCOPYRITE, PYRITE.</t>
  </si>
  <si>
    <t>LUMIANA MALUHQUE</t>
  </si>
  <si>
    <t>6 KM HORTH OF SOLWEZI-MUTHILUNGA ROAD</t>
  </si>
  <si>
    <t>65 KM WEST OF Solwezi</t>
  </si>
  <si>
    <t>RTZ CONSULTANTS ESTIMATE MINERALE RESERVES AT 92.1 MILLION TONNES GRADING 1.12K COPPER IN OPEN PIT RESERVES AT MALUNDUE WITH A MASTELORE STRIPPING RATIO OF 6.4:1 IN THEIR 1976 "VIABILITY" STUDY. THEY ESTIMATE GEOLOGICAL RESERVES FOR THE TWO DEPOSITS AT A CUT-OFF OF 0.3K AT 749 MILLION TONNES @ 0.84K COPPER (MALUNDUE CONTAINING 114 MILLION TONNES @ 1.11K AND CHIMIUNGO CONTAINING 635 MILLION TONNES @ 0.79K COPPER). FREEMAN (1990-8) STATES THAT AN AGIP "PREFEASTABILITY STUDY" ESTIMATES OPEN PIT RESERVES AT MALUNDUE AT 19.5 MILLION TONNES @ 1.4K COPPER, AT A STRIPPING RATIO OF 3.21:1. WITHIN THE PIT, A URANIUM DEPOSIT CONTAINING 4,000 T U (0.56 MILLION TONNES @ 0.65K US08) WOULD BE RECOVERED.</t>
  </si>
  <si>
    <t>Rock types: QUARTZITE, SCHIST, DOLOMITE; Mineralization: CHALCOPYRITE, PYRITE.</t>
  </si>
  <si>
    <t>MUOMBEZHI COPPER</t>
  </si>
  <si>
    <t>28 KM WEST OF LUNMANA MALUNDNE</t>
  </si>
  <si>
    <t>95 KM WEST OF SOLVEZI</t>
  </si>
  <si>
    <t>SPARSE DISSEMINATED COPPER IN SCHISTS PROBABLY OF SIMILAR AGE TO MALUNDNE.</t>
  </si>
  <si>
    <t>NTUHGU</t>
  </si>
  <si>
    <t>5 KM SOUTH OF THE SOLWEZI MUTINILUNGO ROAD</t>
  </si>
  <si>
    <t>95 KM WEST OF Solwezi</t>
  </si>
  <si>
    <t>THE DEPOSIT OCCURS IN LOWER ROAN KYAMITE-BEARING SCHISTS ON THE SOUTHWEST MARGIN OF THE MUOMBEZHI DOME.</t>
  </si>
  <si>
    <t>SHILEADA</t>
  </si>
  <si>
    <t>15 KM SOUTH OF SOLVEZI NVINILUNGA ROAD</t>
  </si>
  <si>
    <t>75 KM WEST OF SOLVEZI</t>
  </si>
  <si>
    <t>EXOTIC (TRANSPORTED) SUPERGENE OCCURRENCE</t>
  </si>
  <si>
    <t>KALUMBILA</t>
  </si>
  <si>
    <t>SOLWEZI-KALUMBILA PL, MUNIILUNGA AREA, JUST SE OF KABOPPO DOME</t>
  </si>
  <si>
    <t>350 KM U OF CHIMGOLA, 18 KM V OF MUNIILUNGA ROAD</t>
  </si>
  <si>
    <t>NICKEL</t>
  </si>
  <si>
    <t>THE KALUMBILA PROSPECT WAS ORIGINALLY CALLED THE MUSKINGISNI PROPERTY (NO 526) BY GUERNSEY (1941), WHO REPORT THAT DU PLESSIS EXCAVATED 5 TRENCHES ON THE PROPERTY. AUGER DRILLING BY MUNIILUNGA MINES OUTLINED A LARGE COPPER GEOCHEMICAL ANOMALY (MORE THAN 3,000 PPM CU) OVER A STRIKE LENGTH OF 1,600 M, WITH ANOMALOUS NI AND COSTINE NE END. IN 1958, GEOLOGICAL AND GEOCHEMICAL FIELD WORK DONE BY ROAM SELECTION TRUST DELINEATED AN ANOMALOUS AREA ABOUT 11 KM LONG AND FROM 600-1,200 M VIDE. THE ANOMALY CONSISTS OF 3 ZONES; A NICKEL, A COPPER, AND A NICKEL-COBAL ZONE. DRILLING OF THE ANOMALY COMMENCED IN 1959, AND BY THE END OF 1960, 4 HOLES (OUT OF SEVERAL DRILLED ALONG 2,500 M OF STRIKE) HAD INTERSECTED 0.91X CU OVER 4 M TO 1.75X CU OVER 10 M AT-DEPTHS OF 100-300 M BELOW SURFICIAL IN 1961, 4 MORE HOLES WERE DRILLED TO TEST FOR DOAM-UP EXTENSIONS, AND RETURNED RESULTS OF 0.3X CU OVER 0.1 M TO 1.32X CU OVER 9 M. NICKEL VALUES GRADING UP TO 0.24X OVER 2 M WERE INTERSECTED IN THE MOST NE HOLES ON THE COPPER ANOMALY. AT THE NI-CO ANOMALY, 0.34X NI OVER 4 M, WITH 0.36X CO AND 0.41X CU, WAS THE BEST DRILL INTERCEPT. DURING THE END OF 1961 AND EARLY 1962, RESULTS FROM ONE HOLE DRILLED INTO THE NI ANOMALY RETURNED 0.93X NI C AND 26 M (WITH 0.3X CO &amp; 0.16X CU), WITH A PEAK OF 3.35X NI OVER 2.3 M, AT A DEPTH OF ABOUT 300 M. FROM 1962-64, ADDITIONAL 10 HOLES WERE DRILLED. THE HOLES WERE SPOTTED TO INTERSECT THE MINERALIZATION AT DEPTHS OF 200-300 M, AND WERE SPACED FROM 150-300 M APART, ALONG ABOUT 2,000 M STRIKE LENGTH. A TOTAL OF 31 HOLES WERE DRILLED BETWEEN 1959 AND 1964. LIMITED METALLURGICAL TESTROOK CARRIED OUT ON THE CORE INDICATED THAT GOOD RECOVERIES. C IN I IN A HIGH GRADE CONCENTRATE WAS POSSIBLE WITH SIMPLE SULPHIDE FLOTATION (ELLIS - EXPLORATION MANAGER AT RST) NO FURTHER WORK HAS BEEN DONE SINCE 1964.</t>
  </si>
  <si>
    <t>ESTIMATED 7 MILLION TONS GRADING 0.55X NI, 0.2X Co AND 0.15X Cu (GARLICK - R.S.T., 1964?). THE DRILL HOLE SPACING IS TOO GREAT FOR AN ACCURATE ESTIMATE (SPACING OF 150-300 M), HOWEVER, ASSUMING CONTINUITY BETWEEN INTERSECTIONS, AMGLO DID A CALCULATION IN 1972(?) , AND CAME UP WITH POSSIBLE RESERVES (TOTALLING 8.0 MILLION T GRADING 0.54X NI, 0.20X Co, 0.14X Cu) OF: 2 HIGH GRADE LENSES (-0.4X NI) - 3.0 MILLION T @ 0.73X NI, 0.27X Co, 0.12X Cu &amp; 0.3 MILLION T @ 0.8X NI, 0.78 Co, 0.17X Cu 3 LOW GRADE LENSES - TOTAL OF 4.7 MILLION T @ 0.4X NI, 0.12X Co, 0.14X Cu</t>
  </si>
  <si>
    <t>SHALE-MOSTED LENSUID NICKEL AND STRATIFORM COPPER DEPOSIT</t>
  </si>
  <si>
    <t>APPLETON (1978), ELLIS (1963), FREEMAN (1972 - 1, 1988 -</t>
  </si>
  <si>
    <t>JAVUMA</t>
  </si>
  <si>
    <t>14 KM NORTH OF THE KALENGWA KALULUSHI ROAD</t>
  </si>
  <si>
    <t>60 KM NNE OF KALENGWA</t>
  </si>
  <si>
    <t>SUPERGENE ENRICHED SEDIMENTARY COPPER</t>
  </si>
  <si>
    <t>Rock types: SHALE; Mineralization: COPPER, MALACHITE, DIAMOND.</t>
  </si>
  <si>
    <t>ITANA</t>
  </si>
  <si>
    <t>NODLA AREA</t>
  </si>
  <si>
    <t>1.5 KN EAST OF NODLA RAILWAY STATION</t>
  </si>
  <si>
    <t>LEAD</t>
  </si>
  <si>
    <t>AS A BASE METAL PROSPECT</t>
  </si>
  <si>
    <t>UNCLASSIFIED</t>
  </si>
  <si>
    <t>THE LIMESTONE QUARRY IS STILL ACTIVE.</t>
  </si>
  <si>
    <t>MISNISHI</t>
  </si>
  <si>
    <t>SOUTHEASTERN COPPERBELLT</t>
  </si>
  <si>
    <t>10 KM NORTH OF Ndola, 15 KM NE OF LUANSWYA</t>
  </si>
  <si>
    <t>TALC</t>
  </si>
  <si>
    <t>POSSIBLY 600,000 TOWNS AVERAGING 1.03X COPPER IN A SMALL POD OF MINERALIZATION REPEATED BY FOLDING (FREEMAN, 1988).</t>
  </si>
  <si>
    <t>STRATIFORM COPPER IN LOWER ROAN</t>
  </si>
  <si>
    <t>Rock types: QUARTZITE; Mineralization: COPPER.</t>
  </si>
  <si>
    <t>MUEKERA</t>
  </si>
  <si>
    <t>SOUTHEASTERN COPPERBELT</t>
  </si>
  <si>
    <t>40 KM SE OF Mufulira AND 24 KM NN OF Ndola, NEAR THE ZAIRE BORDER</t>
  </si>
  <si>
    <t>7.1 MILLION TONNES AT AN AVERAGE GRADE OF 1.53X COPPER IN 3 ZONES. THE LOWER OREGODY CONTAINS AN ESTIMATED 4.6 MILLION TONNES @ 1.76X COPPER; OR A THINNER, HIGHER GRADE SECTION CONTAINING 2.6 MILLION TONNES @ 2.37X. THE LOWER GRADE "FRINGE" CONTAINS 1.7 MILLION TONNES @ 1.5X; AND THE HANGING WALL MINERALIZATION COMPRISES 800,000 TONNES @ 1.3X COPPER. (FREEMAN, 1988).</t>
  </si>
  <si>
    <t>Rock types: QUARTZITE, CONGLOMERATE; Mineralization: COPPER, MALACHITE, CHALCOPYRITE.</t>
  </si>
  <si>
    <t>NDOLA EAST</t>
  </si>
  <si>
    <t>8 KM NORTH OF Ndola, 33 KM NE OF Luanshya, AND 55 KM SE OF Mufulira</t>
  </si>
  <si>
    <t>IT HAS BEEN ROUGHLY ESTIMATED THAT AN AREA MEASURING 3,500 M BY 1,500 M WITH A MINERALIZED ZONE AVERAGING 5 M IN THICKNESS COULD CONTAIN ABOUT 40 MILLION TONNES AVERAGING 0.76X COPPER.</t>
  </si>
  <si>
    <t>Rock: Quartzite, Dolomite; Minerals: Copper; Formation: Roam Formation</t>
  </si>
  <si>
    <t>NDOLA WEST</t>
  </si>
  <si>
    <t>5 KM WEST OF Ndola TOWN, 25 KM NNE OF LUANSNYA, 60 KM SE OF Mufulira</t>
  </si>
  <si>
    <t>POSSIBLY 3 MILLION TONNES AT AN AVERAGE GRADE OF 1.56X COPPER.</t>
  </si>
  <si>
    <t>STRATIFORN COPPER IN LOWER ROAN</t>
  </si>
  <si>
    <t>Rock types: QUARTZITE, DOLOMITE; Mineralization: COPPER.</t>
  </si>
  <si>
    <t>NGALA</t>
  </si>
  <si>
    <t>EASTERN COPPERBELT</t>
  </si>
  <si>
    <t>25 KM SE OF Mufulira</t>
  </si>
  <si>
    <t>ABOUT 200,000 TONNES AT AN AVERAGE GRADE OF 2.41% IN A SMALL, STEEPLY DIPPING BODY (FREEMAN, 1988).</t>
  </si>
  <si>
    <t>STRATIFORM COPPER OXIDES AND SULPHIDES IN LOWER ROAN</t>
  </si>
  <si>
    <t>Rock types: QUARTZITE, SCHIST, DOLOMITE; Mineralization: COPPER, MALACHITE, DIAMOND; Formation: MUASHIA AND KUNDELUNGUI FORMATION.</t>
  </si>
  <si>
    <t>AREA K</t>
  </si>
  <si>
    <t>HKANA DIVISION, CENTRAL COPPERBELT</t>
  </si>
  <si>
    <t>6 KM SOUTH OF KITNE</t>
  </si>
  <si>
    <t>2.6 MILLION TONNES AT AN AVERAGE GRADE OF 2.06X TOTAL COPPER, 1.37X ACID SOLUBLE COPPER (HKANA DIVISION,1990); AND 0.05X COBALT IN AREAS NOT UNDERMINED BY STOPING (FREEMAN, 1988).</t>
  </si>
  <si>
    <t>STRATIFROM COPPER SULPHIDES AND OXIDES IN LOWER ROAN</t>
  </si>
  <si>
    <t>Rock types: SANDSTONE, SCHIST, SHALE; Mineralization: COPPER, MALACHITE, CHALCOPYRITE; Formation: BEARING FORMATION.</t>
  </si>
  <si>
    <t>CHAMBISHI NINE</t>
  </si>
  <si>
    <t>NORTHERN COPPERBELT, IN CHAMBISHI ML19</t>
  </si>
  <si>
    <t>MIDWAY BETWEEN KITNE AND Chingola</t>
  </si>
  <si>
    <t>ON CARE-AND-MAINTENANCE.</t>
  </si>
  <si>
    <t>ALL MINERALIZED MATERIAL AT CHAMBISHI IS CURRENTLY CLASSIFIED AS RESOURCESTOTAL RESOURCES IN THE CHAMBISHI MAIN AND WEST DEPOSITS AS AT THE END OF MARCH 1990 , AS ESTIMATED BY NKAMA DIVISION , WERE 10224 MILLION TONKES AT A GRADE OF 236% TOIL ONE RESERVES IN 1988 WERE: FULLY DEVELOPED - 542,000 T @ 302% TOTAL COPPER; PARTLY DEVELOPED - 506,000 T GRADING 320% TOTAL CU; UNDEVELOPED - 28 MILLION T @ 268% TOTAL CU</t>
  </si>
  <si>
    <t>STRATIFORM COPPER MINERALIZATION IN LOWER ROAM OF KATANGA SYSTEM.</t>
  </si>
  <si>
    <t>CHAMBISHI SOUTHEAST</t>
  </si>
  <si>
    <t>CENTRAL COPPERBELT, IN CHAMBISHI ML 19</t>
  </si>
  <si>
    <t>18 KM NU OF KITME, AND 8 KM SE OF THE CHAMBISHI MAIN OREBOY</t>
  </si>
  <si>
    <t>NKAMA DIVISION PROVIDED AN ESTIMATE OF RESERVES AT CHAMBISHI SE IN THEIR BIENNIAL REPORT FOR THE PERIOD ENDING 31 MARCH 1990 AS FOLLOWS: CHAMBISHI SE (NORTH): 38.3 MILLION TONNES @ 2.42X TCU. CHAMBISHI SE (SOUTH): 6.3 MILLION TONNES @ 2.23X TCU. FREEMAN (1988) ESTIMATED THAT IN A MU-TRENDING AREA SOME 8,000 M LONG BY 1,000-2,000 M WIDE THERE MAY BE 55.4 MILLION TONNES AVERAGING 2.42X CU IN A "MIGH GRADE" SECTOR, AND A FURTHER 50.4 MILLION TONNES @ 1.63X CU IN A "LOV GRADE" ZONE. WITHIN THOSE TWO DEPOSITS THERE MAY BE 16 MILLION TONNES @ 0.15X CO AND 26 MILLION TONNES @ 0.10X CO RESPECTIVELY.</t>
  </si>
  <si>
    <t>STRATIFORM COPPER OCCURRING AS DISSEMINATED COPPER &amp; COBALT SULPHIDES</t>
  </si>
  <si>
    <t>Rock: Quartzite, Dolomite; Formation: Ore Formation</t>
  </si>
  <si>
    <t>CHIBULUNA (EAST AND WEST)</t>
  </si>
  <si>
    <t>CENTRAL COPPERBELT, IN CHIBULUNA NL18</t>
  </si>
  <si>
    <t>16 KM WEST OF KITME</t>
  </si>
  <si>
    <t>IN SITU ONE RESERVES ESTIMATED BY NKAMA DIVISION AS AT 31 MARCH 1990 WERE: (1) AT CHIBULUNA EAST - 1.022 MILLION TOWERS @ 1.57% CU AND 0.75% CO. (2) AT CHIBULUNA WEST - 6.985 MILLION TOWERS @ 3.52% CU AND 0.16% CO. THE TOTAL FOR ALL UNDERGROUND SOURCES WAS 8.007 MILLION TOWERS @ 3.27% COPPER AND 0.19% CO. IN SITU RESOURCES WERE ESTIMATED AT 14.0 MILLION TOWERS AT 3.93% TOU.</t>
  </si>
  <si>
    <t>STRATIFORM COPPER IN:LOWER ROAN</t>
  </si>
  <si>
    <t>Rock types: QUARTZITE, DOLOMITE; Mineralization: COPPER, CHALCOPYRITE, PYRITE.</t>
  </si>
  <si>
    <t>Mineralization: COPPER, CHALCOPYRITE, PYRITE.</t>
  </si>
  <si>
    <t>CHIBULUMA SOUTH</t>
  </si>
  <si>
    <t>CENTRAL-WEST COPPERBELT, IN CHIBULUMA ML 39.</t>
  </si>
  <si>
    <t>10 KM SOUTH OF KALALUSHI</t>
  </si>
  <si>
    <t>COPPER-1:</t>
  </si>
  <si>
    <t>DATA FROM DIAMOND DRILLING ENABLED A RESOURCE CALCULATION TO BE MADE IN 1977. VIZ: (i) SULPHIDES - 8.6 MILLION TONNES AT AN AVERAGE GRADE OF 4.46%; AND (ii) AN OXIDE CAPPING OF 2.5 MILLION TONNES GRADING 3.90% COPPER (FREEMAN, 1988). IN 1988, THE MINERALE SULPHIDE RESERVE WAS CALCULATED AT 6.024 MILLION TONNES AVERAGING 4.33% COPPER. METALLURGICAL TESTS WERE COMPLETED ON THE SULPHIDE MINERALIZATION, AND RECOVERIES AVERAGED 95%, WITH CONCENTRATE GRADES OF 45% OR BETTER.</t>
  </si>
  <si>
    <t>STRATIFORM OXIDE AND SULPHIDE COPPER IN LOWER ROAN</t>
  </si>
  <si>
    <t>Rock types: QUARTZITE, GNEISS; Mineralization: COPPER, MALACHITE.</t>
  </si>
  <si>
    <t>SM EDGE OF COPPERBELT, ON SOUTH LINE OF A SYNCLINE OF KATAWAM ROCKS</t>
  </si>
  <si>
    <t>1500 M SOUTH OF THE CHIBULUNA SOUTH OREBOXY</t>
  </si>
  <si>
    <t>ACCORDING TO HANCOCK (1976) THE DEPOSIT CONTAINS 430,000 TONNES AT 3.73X TCU. HOWEVER, FREEMAN (1988) REPORTS THAT THE DEPOSIT CONSISTS OF TWO SUPERIMPOSED LENSES; AND THAT THE UPPER LENSE CONTAINS AN ESTIMATED 65,520 TONNES AVERAGING 2.55X COPPER, WHILE THE LOVER LENSE CONTAINS AN ESTIMATED 108,420 TONNES WITH AN AVERAGE GRADE OF 2.93X COPPER.</t>
  </si>
  <si>
    <t>OXIDIZED AND SULFIDE STRATIFORM COPPER IN LOWER ROAN</t>
  </si>
  <si>
    <t>Rock types: QUARTZITE; Mineralization: CHALCOPYRITE, PYRITE.</t>
  </si>
  <si>
    <t>ICHIMPE</t>
  </si>
  <si>
    <t>CHAMBISHI - ML19</t>
  </si>
  <si>
    <t>[istance From Nearest Center: 12 KM MU OF KITNE, BETWEEN MINdola AND CHAMBISHI SE]</t>
  </si>
  <si>
    <t>COBBLIT</t>
  </si>
  <si>
    <t>THE DEPOSIT CONTAINS AN INDICATED RESOURCE ESTIMATED AT 3.1 MILLION TONNES WITH AN AVERAGE GRADE OF 1.78X COPPER EXTENDING DOMINARIO FROM 500 M VERTICAL DEPTH (FREEMAN,1988). THE DEEPEST BORENOLE, AT ABOUT 1100 M VERTICAL DEPTH, INTERSECTED A COBALT-BEARING ZONE OF COPPER MINERALIZATION WHICH ASSAYED 0.27X COBALT.</t>
  </si>
  <si>
    <t>STRATIFORM COPPER-COBALT IN LOWER ROAN</t>
  </si>
  <si>
    <t>Rock types: GRANITE, QUARTZITE, GNEISS; Mineralization: COPPER, CHALCOPYRITE, PYRITE.</t>
  </si>
  <si>
    <t>NUTUNDU NORTH</t>
  </si>
  <si>
    <t>NUFULIRA - NL15</t>
  </si>
  <si>
    <t>10 KM SE OF NUFULIRA</t>
  </si>
  <si>
    <t>4.3 MILLION TONNES AT AN AVERAGE GRADE OF 1.44X COPPER.</t>
  </si>
  <si>
    <t>Rock types: GRANITE, SANDSTONE, QUARTZITE; Mineralization: COPPER, MALACHITE; Formation: AND THEN HIGHER KAYANGAN FORMATION.</t>
  </si>
  <si>
    <t>NKANA DEPOSITS</t>
  </si>
  <si>
    <t>CENTRAL COPPERSELT, WITHIN THE KITME CITY LIMITS</t>
  </si>
  <si>
    <t>NEAR CITY OF KITME</t>
  </si>
  <si>
    <t>-COBALT</t>
  </si>
  <si>
    <t>ORE RESERVES AS AT 31 MARCH 1990 WERE 98.792 MILLION TONNES 2.33X COPPER AND 0.14X COBALT IN SITU. IN SITU RESOURCES TOTAL 437.0 MILLION TONNES AT A GRADE OF 2.23X, INCLUDING 14.0 MILLION TONNES AT 3.93X TCU AT CHIBULUMA AND CHIBULUMA SOUTH.</t>
  </si>
  <si>
    <t>STRATFORM COPPER/COBALT IN LOWER ROAN GROUP</t>
  </si>
  <si>
    <t>Rock types: QUARTZITE, DOLOMITE, SHALE; Mineralization: CHALCOPYRITE, PYRITE; Formation: AN UNMINERALISED FACIES OF THE ONE FORMATION.</t>
  </si>
  <si>
    <t>NKANA OXIDES</t>
  </si>
  <si>
    <t>NKANA DIVISION, ADJACENT TO PRESENT KIKE WORKINGS</t>
  </si>
  <si>
    <t>2.5 KN SOUTH OF Kitwe</t>
  </si>
  <si>
    <t>IN RESOURCES.</t>
  </si>
  <si>
    <t>112 MILLION TONNES AT A GRADE OF 309% TCU AND 224% AS CU</t>
  </si>
  <si>
    <t>STRATIFORM REFRACTORY OXIDE OR MIXED OXIDE/SULPFIDE COPPER MINERALIZATION.</t>
  </si>
  <si>
    <t>NKAMA - NL3</t>
  </si>
  <si>
    <t>3 KM SM OF KITNE</t>
  </si>
  <si>
    <t>1927: "PITTING" WAS CARRIED OUT ALONG THE ENTIRE WEST LIMB OF THE NKAMA SYNCLINE. 1928: A DRILLING PROGRAMME WAS COMPLETED, CONSISTING OF 10 SHALLOW HOLES SPACED 600 - 1,000 M APART. SIX OF THE HOLES INTERSECTED MINERALIZATION, RANGING FROM 1.5X COPPER OVER 2 N TO 6.3X COPPER OVER 3 N. 1940: 4 HOLES WERE DRILLED. 1952-55: 7 HOLES WERE DRILLED. 1965-70: A DETAILED PITTING PROGRAMME WAS CARRIED OUT. 1969-84: AN ADDITIONAL 43 DRILL HOLES WERE COMPLETED. NEAR THE CHIBULUMA BOUNDARY, CLOSELY SPACED DRILLING WAS UNDERTAKEN IN ORDER TO LOCATE ANY SMALL, RICH FOOTWALL-TYPE OREGODY THAT MIGHT BE PRESENT. ONE HOLE INTERSECTED 3.28X CU OVER A VIDTH OF 9 N AT A DEPTH OF 60 N. LESSER VALUES WERE ENCOUNTERED IN 3 OTHER HOLES AT DEPTHS OF ABOUT 300 N IN SHALE OR INTERMEDIATE FOOTWALL. ANOTHER HOLE DRILLED 2,100 N TO THE EAST CUT LOWER VALUES OF 2.36X CU OVER 5 N AT A DEPTH OF 150 N.</t>
  </si>
  <si>
    <t>A MAJOR EXPLORATION DRILLING PROGRAM IS PLANNED BY NKAMA DIVISION ""TO PROVE (THE) VIABILITY AND ECONOMIC LIMITS"" OF THE WEST LIMB</t>
  </si>
  <si>
    <t>Reserves: 7 MILLION T.</t>
  </si>
  <si>
    <t>PITANDA</t>
  </si>
  <si>
    <t>27 KM NM OF KITNE</t>
  </si>
  <si>
    <t>ACCORDING TO FREEMAN (1988), IF CONTINUITY ALONG A 4 KM STRIKE LENGTH IS ASSUMED THERE COULD BE 15 MILLION TOWERS AT THE AVERAGE GRADE OF 1.70X IN A GENTLY DIPPING BOOT. HOWEVER, FREEMAN ALSO SUGGESTS THAT "IT IS NOT LIKELY THAT THERE IS A SMALLER TOWNAGE IN A MORE IRREGULAR DISTRIBUTION".</t>
  </si>
  <si>
    <t>Rock types: SHALE, CONGLOMERATE; Mineralization: COPPER.</t>
  </si>
  <si>
    <t>TIMKERS (CHINTUANI)</t>
  </si>
  <si>
    <t>CENTRAL COPPERBELT, NKANA DIVISION</t>
  </si>
  <si>
    <t>10 KM SSW OF KITNE</t>
  </si>
  <si>
    <t>100,000 TONNES AVERAGING 3.0X TOTAL COPPER, 2.7X ACID SOLUBLE COPPER IN A SMALL POO SURROUNDING THE DRILL INTERSECTION.</t>
  </si>
  <si>
    <t>COPPER OXIDES AND SULPHIDES IN ROCKS OF THE NAVA SYSTEM</t>
  </si>
  <si>
    <t>Rock types: GRANITE, QUARTZITE, SCHIST; Mineralization: COPPER, MALACHITE.</t>
  </si>
  <si>
    <t>NCHANGA NINE</t>
  </si>
  <si>
    <t>NORTHWESTERN COPPERBELT, IN NCHANGA ML10</t>
  </si>
  <si>
    <t>48 KM NW OF KITNE</t>
  </si>
  <si>
    <t>111.57 MILLION TONNES OF COPPER ORE AVERAGING 3.95% TOTAL COPPER AND 1.67% ACID SOLUBLE COPPER; AND 14.8 MILLION TONNES OF COBALT ORE AVERAGING 0.57% COBALT AND 0.06% ACID SOLUBLE COBALT; AS AT 1ST APRIL 1990.</t>
  </si>
  <si>
    <t>Rock: Granite, Sandstone; Minerals: Copper; Formation: Roam Group</t>
  </si>
  <si>
    <t>LUKULU RIVER</t>
  </si>
  <si>
    <t>SERENJE GROUP</t>
  </si>
  <si>
    <t>84 KM NE OF Serenje</t>
  </si>
  <si>
    <t>SUPERGENE VEIN TYPE</t>
  </si>
  <si>
    <t>Rock types: GRANITE, SCHIST.</t>
  </si>
  <si>
    <t>KASANKA</t>
  </si>
  <si>
    <t>ON THE NORTH FLOATING KASANKA TRIBUTARY OF THE MULENBO RIVER</t>
  </si>
  <si>
    <t>30 KM WEST OF KAFINDA</t>
  </si>
  <si>
    <t>BARREN KIMBERLITES</t>
  </si>
  <si>
    <t>Rock types: SANDSTONE, QUARTZITE, SHALE; Formation: SILTSTONES AND SANDSTONES OF THE RUNDELUNGU SERIES OF THE KATANGA SUPERGROUP.</t>
  </si>
  <si>
    <t>MLENBO</t>
  </si>
  <si>
    <t>LOCATED IN THE NOOK ON THE MLENBO RIVER, 30 KM NORTH OF MAMADO CHIPEUM</t>
  </si>
  <si>
    <t>85 KM NHW OF SERENAE</t>
  </si>
  <si>
    <t>15 MILLION T @ 44.2X FE TO 32.5 M DEPTH AS ESTIMATED BY CHARTERED EX.</t>
  </si>
  <si>
    <t>Mineralization: IRON; Formation: BUT THOUGHT TO REPLACE SNALE OF THE KALOMGA FORMATION.</t>
  </si>
  <si>
    <t>KAPAMBA</t>
  </si>
  <si>
    <t>WEST OF THE LUANGUA RIVER, SOUTH LUANGUA NATIONAL PARK</t>
  </si>
  <si>
    <t>135 KM WEST OF Serenje</t>
  </si>
  <si>
    <t>P2 IS THE BEST OF THE PIPES WITH A LOW GRADE RESOURCE IN AN AREA 165,000 SO. M, APPROX. TOX DIAMOND|FEROUS KINGERLITE, GRADE 0.265 C/100 T.</t>
  </si>
  <si>
    <t>DIAMOND|FEROUS LAMPROITES</t>
  </si>
  <si>
    <t>Rock types: METASEDIMENT; Mineralization: DIAMOND.</t>
  </si>
  <si>
    <t>KAMANJEEVA GROUP</t>
  </si>
  <si>
    <t>REAR LUNDAZI-MBUZI ROAD</t>
  </si>
  <si>
    <t>APPROXIMATELY 70 KM WEST OF Lundazi</t>
  </si>
  <si>
    <t>AQUAWARINE</t>
  </si>
  <si>
    <t>CONFYSORERYL</t>
  </si>
  <si>
    <t>QUANTZ</t>
  </si>
  <si>
    <t>ACTIVE</t>
  </si>
  <si>
    <t>BERYL PERMATITÉS</t>
  </si>
  <si>
    <t>Mineralization: MAGNETITE; Formation: THIS IS AN AREA OF NUMEROUS PERMATITES CALLED THE KAMANJEEVA GROUP.</t>
  </si>
  <si>
    <t>LUNDAZI AREA</t>
  </si>
  <si>
    <t>VERY LARGE AREA AROUND LUNDAZI</t>
  </si>
  <si>
    <t>FROM Lundazi: NE 20 KM, WEST 60 KM, EAST TO MALAKI AND SM 120 KM</t>
  </si>
  <si>
    <t>AQUAMARINE</t>
  </si>
  <si>
    <t>BERYL</t>
  </si>
  <si>
    <t>MICA</t>
  </si>
  <si>
    <t>UNKNOWN, BUT UNDOUBTEDLY LARGE IN TERMS OF LOCAL MINING. WOMANS SEEN INDIVIDUAL STONES UP TO APPROX. 10 G IN WEIGHT, IN A TOTAL OF APPROX. 3 KG OF HIGH QUALITY PRODUCT OBTAINED FROM A NUMBER OF SOURCES BY ONE ILLEGAL BUYER. THE MINES DEPARTMENT (U: SMETA, PERSONAL COMMUNICATION) SUGGESTED THAT THE GROSS VALUE OF ROUGH AQUAMARINES COULD BE IN THE US$ 20 TO 40 MILLION RANGE PER ANNUAL APART FROM THE MAIDA PROBLEM OF UNRECORDED PRODUCTION IN ASSESSING RESERVES, THE DIFFICULTY OF MINING THE HARD ROCK IS A CRITICAL FACTOR TO BE WEIGHED AGAINST THE FREQUENCY OF GEN MATERIAL, AND MUCH OF THE CURRENT MINING IS QUESTIONABLY PROFITABLE.</t>
  </si>
  <si>
    <t>PEGMATITE</t>
  </si>
  <si>
    <t>Rock types: GNEISS; Formation: OFTEN OCCUR IN GROUP.</t>
  </si>
  <si>
    <t>NUSHIMA (NORTH LUANGUA)</t>
  </si>
  <si>
    <t>IN SOUTH PART OF NORTH LUANGUA GAME RESERVE</t>
  </si>
  <si>
    <t>125 KM WEST OF Lundazi</t>
  </si>
  <si>
    <t>CLUSTER OF KIMBERLITES</t>
  </si>
  <si>
    <t>Mineralization: DIAMOND; Formation: 1 GROUP.</t>
  </si>
  <si>
    <t>80 KM SM OF Lundazi</t>
  </si>
  <si>
    <t>APPROX. 1,270 CU M OF GOLD BEARING GRAVELS</t>
  </si>
  <si>
    <t>PERMATITE AND QUARTZ VEIN AREA</t>
  </si>
  <si>
    <t>Rock types: METASEDIMENT; Mineralization: GOLD; Formation: THE PROMINENT HILLS ARE UNDERLAIN BY THE MAFINGI GROUP.</t>
  </si>
  <si>
    <t>MACHINJE</t>
  </si>
  <si>
    <t>LUXUSUZU GAME RESERVE</t>
  </si>
  <si>
    <t>72 KM SU OF Lundazi</t>
  </si>
  <si>
    <t>MAGNETITE-NEWATITE DEPOSIT IN ONEISS</t>
  </si>
  <si>
    <t>SMALL IRON DEPOSIT.</t>
  </si>
  <si>
    <t>PANELA</t>
  </si>
  <si>
    <t>AREA SURROUNDS THE FORMER LINE WORKS NEAR THE MANAGAZI RIVER</t>
  </si>
  <si>
    <t>75 KM NM OF Chipata 20 KM EAST OF THE Chipata-MSEFU ROAD</t>
  </si>
  <si>
    <t>KIMBERLITE CLUSTER</t>
  </si>
  <si>
    <t>TWO DIAMONDIFEROUS PIPES.</t>
  </si>
  <si>
    <t>LANGUE GROUP</t>
  </si>
  <si>
    <t>LUXUSUZI NATIONAL PARK NO. 3</t>
  </si>
  <si>
    <t>100 KM SU OF Lundazi</t>
  </si>
  <si>
    <t>HYDROTHERMAL (?) VEINS</t>
  </si>
  <si>
    <t>Rock types: SCHIST; Mineralization: COPPER, GOLD; Formation: THERMAL EVENTS AND UPPER PROTEROZOIC DEFORMATION.</t>
  </si>
  <si>
    <t>ARIES AND ARIES II</t>
  </si>
  <si>
    <t>NORTH OF LUNDAZI</t>
  </si>
  <si>
    <t>8 KM NORTH OF Lundazi</t>
  </si>
  <si>
    <t>AQUANARINE</t>
  </si>
  <si>
    <t>BERYL-MICA PEGNATITES</t>
  </si>
  <si>
    <t>Rock types: GNEISS; Mineralization: MAGNETITE, HEMATITE.</t>
  </si>
  <si>
    <t>MANDA HILL GROUP</t>
  </si>
  <si>
    <t>MANDA HILL AREA NORTH OF LUNDAZI</t>
  </si>
  <si>
    <t>80 KM NORTH OF Lundazi</t>
  </si>
  <si>
    <t>MICA PEGMATITE</t>
  </si>
  <si>
    <t>Formation: THE SOUTHERNMOST OF THE GROUP.</t>
  </si>
  <si>
    <t>DIPALATA (LUNTUME)</t>
  </si>
  <si>
    <t>THE AREA ADJOINS ANGOLA EAST OF THE ZAMBEZI RIVER</t>
  </si>
  <si>
    <t>THE SOUTH BOUNDARY IS APPROXIMATELY 15 KM NORTH OF THE ZAMBEZI RIVER</t>
  </si>
  <si>
    <t>ALLUVIAL DIAMOND LOCALITY</t>
  </si>
  <si>
    <t>Rock types: GRANITE, QUARTZITE; Mineralization: DIAMOND.</t>
  </si>
  <si>
    <t>DONGWE</t>
  </si>
  <si>
    <t>FOLLOWS THE DONGUE RIVER FOR 150 KM</t>
  </si>
  <si>
    <t>EXTENDS FROM MUSHINA IN THE EAST TO WATOPA FERRY IN THE WEST</t>
  </si>
  <si>
    <t>KATANGA SYSTEM SEDIMENTARY</t>
  </si>
  <si>
    <t>INVATI</t>
  </si>
  <si>
    <t>KALENGUA AREA</t>
  </si>
  <si>
    <t>16 KM SU OF KALENGUA</t>
  </si>
  <si>
    <t>INSIGNIFICANT COPPER OCCURRENCE</t>
  </si>
  <si>
    <t>Rock types: SANDSTONE, CONGLOMERATE; Mineralization: COPPER, CHALCOPYRITE, PYRITE.</t>
  </si>
  <si>
    <t>KAWARA - LUAMAKANBIE GROUP</t>
  </si>
  <si>
    <t>KASEMPA SALIENT</t>
  </si>
  <si>
    <t>113 KN SM OF KASEMPA (SOUTH OF DOMONE RIVER)</t>
  </si>
  <si>
    <t>HYDROTHERMAL VEINS WITH ASSOCIATED SILICIFICATION AND SULPHIDE MINERALIZATION</t>
  </si>
  <si>
    <t>ACID INTRUSIVES INTO KUNDELUNGU CLASTIC SEDIMENTS</t>
  </si>
  <si>
    <t>KARIBAREHBI</t>
  </si>
  <si>
    <t>49 KM SOUTH OF KALENGUA</t>
  </si>
  <si>
    <t>EPIGENETIC SEDIMENT-HOSTED GOLD AND COPPER</t>
  </si>
  <si>
    <t>Formation: THE PREDOMINANT LITHOLOGY IS A DARK GREY ARGILLITE WHICH IS PROBABLY PART OF THE KUNDELUNGU SERIES.</t>
  </si>
  <si>
    <t>D:\RJ1</t>
  </si>
  <si>
    <t>53 KM SU OF KALENGUA</t>
  </si>
  <si>
    <t>VEIN COPPER</t>
  </si>
  <si>
    <t>SUPERGENE ENRICHED.</t>
  </si>
  <si>
    <t>CHIHEMA</t>
  </si>
  <si>
    <t>ICALENGUA AREA</t>
  </si>
  <si>
    <t>52 KM SSW OF KALENGUA</t>
  </si>
  <si>
    <t>STRATIFORM VEIN COPPER - SUPERGENE ENRICHED</t>
  </si>
  <si>
    <t>Rock types: SANDSTONE, QUARTZITE; Mineralization: MALACHITE.</t>
  </si>
  <si>
    <t>MUFUNBUE</t>
  </si>
  <si>
    <t>30 KM SU OF KALENGUA</t>
  </si>
  <si>
    <t>SILVER</t>
  </si>
  <si>
    <t>CONSERVATIVELY ESTIMATED BY FREEMAN (1988) AT 7.22 MILLION TONNES GRADING 2.2X COPPER, CONTAINED IN FIVE DEPOSITS: MUFUNBUE EAST, 4.1 MILLION TONNES a 2.4X COPPER; NO. 2, 1.5 MILLION TONNES a 1.5X COPPER; NO. 3, 1.5 MILLION TONNES a 2.5X COPPER; NO.4, 0.075 MILLION TONNES a 2.6X COPPER; NO. 5, 0.05 MILLION TONNES a 3.0X COPPER.</t>
  </si>
  <si>
    <t>STRATIFORM COPPER - SUPERGENE ENRICHED</t>
  </si>
  <si>
    <t>Rock types: QUARTZITE.</t>
  </si>
  <si>
    <t>MUSONDUEJI</t>
  </si>
  <si>
    <t>EMBRACES THE MUSONDUEJI RIVER NORTH OF THE DONGUE RIVER</t>
  </si>
  <si>
    <t>THE KALENGUA MINE ROAD RUNS ALONG THE WEST SIDE OF THE PL</t>
  </si>
  <si>
    <t>Rock: Granite</t>
  </si>
  <si>
    <t>ALAFUTA AND DONGUE BERYL</t>
  </si>
  <si>
    <t>GENERAL AREA OF THE DONGUE AND LALAFUTA RIVERS</t>
  </si>
  <si>
    <t>CENTRAL PART OF THE AREA IS 40 KM SOUTH OF KABOHPO</t>
  </si>
  <si>
    <t>SMALL CRYSTALS OF BERYL ARE REPORTED IN PEGMATITES AT SEVERAL LOCALITIES INCLUDING: DONGUE 2, ON THE...</t>
  </si>
  <si>
    <t>KANNEJI</t>
  </si>
  <si>
    <t>35 KM SE OF KABOWPO</t>
  </si>
  <si>
    <t>82 KM SM OF KALEKUNA</t>
  </si>
  <si>
    <t>Rock types: QUARTZITE; Mineralization: COPPER, MALACHITE, DIAMOND.</t>
  </si>
  <si>
    <t>KALENGUA</t>
  </si>
  <si>
    <t>0</t>
  </si>
  <si>
    <t>ESTIMATED BY FREEMAN (1988) AT 1.3 MILLION TONNES GRADING 2.5X COPPER. THE ORE IS CONTAINED IN TWO DEPOSITS: KALENGUA MAIN, 0.8 MILLION TONNES a 2.5X COPPER; KALENGUA SOUTH, 0.5 MILLION TONNES a 2.5X COPPER.</t>
  </si>
  <si>
    <t>Rock types: SHALE; Mineralization: MALACHITE, AZURITE; Formation: THE HOST ROCKS ARE KUNDELUNGU SERIES.</t>
  </si>
  <si>
    <t>GOLD (?)</t>
  </si>
  <si>
    <t>Minerals: Copper, Diamond</t>
  </si>
  <si>
    <t>Rock types: SANDSTONE, QUARTZITE; Mineralization: COPPER, MALACHITE, DIAMOND.</t>
  </si>
  <si>
    <t>CONSERVATIVELY ESTIMATED BY FREEMAN (1988) AT 7.22 MILLION TONNES GRADING 2.2X COPPER, CONTAINED IN FIVE DEPOSITS: MUFUNBUE EAST, 4.1 MILLION TONNES a 2.4X COPPER; NO. 2, 1.5 MILLION TONNES a 1.5X COPPER; NO. 3, 1.5 MILLION TONNES a 2.5X COPPER; NO.4, 0.075 MILLION TONNES a 2.6X COPPER; NO. 5, 0.05 MILLION TONNES a 3.0X COPPER. WITHIN MUFUNBUE EAST THERE IS A SECTION OF HIGH-GRADE WHICH COMPRISES 0.5 MILLION TONNES a 3.7X COPPER.</t>
  </si>
  <si>
    <t>Rock types: QUARTZITE; Mineralization: COPPER, MALACHITE, CHALCOPYRITE.</t>
  </si>
  <si>
    <t>Rock types: GRANITE, SHALE; Mineralization: DIAMOND; Formation: THE AREA IS UNDERLAIN BY KATANGA SUPERGROUP.</t>
  </si>
  <si>
    <t>BERL</t>
  </si>
  <si>
    <t>Rock: Sandstone, Quartzite; Minerals: Copper</t>
  </si>
  <si>
    <t>NJENGA (LONE STAR)</t>
  </si>
  <si>
    <t>4 KM SE OF THE KASEMPA KAOMA ROAD</t>
  </si>
  <si>
    <t>18 KM USM OF KASEMPA</t>
  </si>
  <si>
    <t>STRATIFORM (?) COPPER</t>
  </si>
  <si>
    <t>SUPERGENE ENRICHED</t>
  </si>
  <si>
    <t>KASEMPA (LUBUFU) GROUP</t>
  </si>
  <si>
    <t>NINE DEPOSITS ARE WITHIN 3 KM OF THE KASEMPA-MUNSUA ROAD</t>
  </si>
  <si>
    <t>WITHIN 40 KM OF KASEMPA</t>
  </si>
  <si>
    <t>ESTIMATED OPEN PITTABLE TO 150 H AT A MASTERORE RATIO OF 4:1 BY ANGLO AMERICAN: 229 MILLION T B 66X FE IN 10 DEPOSITS SOUTHEAST OF KASEMPA AND IN EASY RANGE OF THE KASEMPA-MUNSUA ROAD. THE OTHER DEPOSITS IN THE AREA WOULD ADD CONSIDERABLE ADDITIONAL TOWNAGE.</t>
  </si>
  <si>
    <t>Rock types: GRANITE; Mineralization: COPPER, IRON, MAGNETITE; Formation: THE GROUP.</t>
  </si>
  <si>
    <t>JIKAMBO</t>
  </si>
  <si>
    <t>15 KM ESE OF KALENGUA</t>
  </si>
  <si>
    <t>INTRUSIVE-HOSTED EPIGENETIC COPPER - SUPERGENE ENRICHED</t>
  </si>
  <si>
    <t>NW</t>
  </si>
  <si>
    <t>40 &lt;M SOUTH OF THE Kalulushi KABOMPO ROAD.</t>
  </si>
  <si>
    <t>90 KM EAST OF KABOMPO</t>
  </si>
  <si>
    <t>THE OREBOOY HAS A NORTH-NORTHWESTERLY PLUNGE AND HAS NOT BEEN DRILLED TO DEPTH IN THAT DIRECTION FOR EXAMPLE, HOLE NUMBER MF 354, OFF THE NORTHEAST END OF THE PIT, INTERSECTED 195 METRES GRADING 75X CU AN ESTIMATED MINERAL INVENTORY FOR MINERALIZATION OUTSIDE AMD BEYOND THE CURRENT PIT (1090 LEVEL) AT 410,000 TONNES GRADING 374X CU (INCLUDING 045X OXIDE CU) THIS ORE IS LOCATED IN THREE AREAS; (1) BELOW THE PIT FLOOR: 226,000 TONNES GRADING 331X CU (INCLUDING 021X OXIDE CU); (2) CONGLOMERATE-NORTH WALL: 104,500 TONNES GRADING 388X CU (INCLUDING 078X OXIDE CU); (3) LIMESTONE MARKER: 79,500 TONNES GRADING 374X CU (INCLUDING 074X OXIDE CU) THE CONGLOMERATE-NORTH WALL MATERIAL EXTENDS NORTH FROM THE PIT THE LIMESTONE MARKER ESTIMATE MUST BE CONSIDERED CONSERVATIVE BECAUSE MINERALIZED MATERIAL BELOW NORTHERN SECTIONS HAVE NOT BEEN INCLUDED EDGAR (1977) REFERS TO A 40 METRE LONG ADIT ,WHICH, WA$ DRIVEN FROM THE 1140 LEVEL, AND FROM WHICH SCME DIAMOND DRILLING WAS COMPLETED UNFORTUNATELY THE PLANS AND SECTIONS FROM THE FINAL WORK WERE NOT AVAILABLE IF THEY CAN NOT BE FOUND, THE DATA SHOULD BE RE-COMPILED AND AN ESTIMATE MADE OF THE REMAINING MINERAL INVENTORY WIGHTMAN (1974)</t>
  </si>
  <si>
    <t>SUPERGENE ENRICHMENT OF A STRATIFORM (?) PROTOLITH.</t>
  </si>
  <si>
    <t>KALENGUA IRON</t>
  </si>
  <si>
    <t>WEST OF KASENPA</t>
  </si>
  <si>
    <t>24 KM EAST OF KALENGUA</t>
  </si>
  <si>
    <t>IRON RESOURCE</t>
  </si>
  <si>
    <t>CONGLOMERATIC IRONSTONE HILLS. ONE DRILLHOLE CUT 62.3X FE OVER 4.7 M (SURFACE ENRICHED?)</t>
  </si>
  <si>
    <t>M75/O</t>
  </si>
  <si>
    <t>2 KM EAST OF THE KALENGUA KALULUSHI ROAD</t>
  </si>
  <si>
    <t>17 KM NE OF KALENGUA</t>
  </si>
  <si>
    <t>SUPERGENE ENRICHED SEDIMENTARY COPPER DEPOSIT</t>
  </si>
  <si>
    <t>Mineralization: COPPER, DIAMOND.</t>
  </si>
  <si>
    <t>MINENBA</t>
  </si>
  <si>
    <t>4 KM NE OF KALENGUA</t>
  </si>
  <si>
    <t>A RESOURCE OF 150,000 TONNES GRADING 1.4X COPPER ON THE MAIN OCCURRENCE (FREEMAN, 1988-2).</t>
  </si>
  <si>
    <t>EPIGENETIC BRECCIA-MOSTED COPPER DEPOSIT IN AN ALTERED MAFIC BODY</t>
  </si>
  <si>
    <t>UPPER DOMGUE</t>
  </si>
  <si>
    <t>HEADMATERS OF THE DOMGUE AND MISONDWEJI,RIVERS WEST OF KASENPA</t>
  </si>
  <si>
    <t>THE KANANA-KABONPO RD. FORMS NORTH EDGE OF THE PL AND IT ADJOINS THE MUSONDWEJI PL TO THE WEST</t>
  </si>
  <si>
    <t>RARE OCCURRENCE OF KIMBERLITE INDICATOR MINERALS</t>
  </si>
  <si>
    <t>THE AREA IS UNDERLAIN BY MAINLY UPPER KATANGA ROCKS. THERE DO NOT APPEAR TO BE KIMBERLITES IN THE AREA.</t>
  </si>
  <si>
    <t>KANGORA-1 AND WESTERN QUEEN</t>
  </si>
  <si>
    <t>KASENPA SALIENT</t>
  </si>
  <si>
    <t>74 KM SU OF KASENPA</t>
  </si>
  <si>
    <t>SHIREMBWE-1 AND LOBA-1 GROUPS</t>
  </si>
  <si>
    <t>97 KM SU OF KASEMPA</t>
  </si>
  <si>
    <t>NORTH LUNGA BASIN (NM CORNER)</t>
  </si>
  <si>
    <t>LUNGA BASIN</t>
  </si>
  <si>
    <t>75 KM SE OF KASENPA</t>
  </si>
  <si>
    <t>NORTH OF KAFUE NATIONAL PARK</t>
  </si>
  <si>
    <t>HYDROTHERMAL VEIN-STOCKWORKS ASSOCIATED WITH ACID INTRUSIVES</t>
  </si>
  <si>
    <t>BUFFALO AND BUFFALO EAST</t>
  </si>
  <si>
    <t>27 KM NE OF THE KASENPA MUNIMA ROAD</t>
  </si>
  <si>
    <t>90 KM ESE OF KASEMPA</t>
  </si>
  <si>
    <t>CHUNGA</t>
  </si>
  <si>
    <t>LUNGA BASIN AREA</t>
  </si>
  <si>
    <t>95 KM EAST OF KASENPA</t>
  </si>
  <si>
    <t>FAULT-CONTROLLED COPPER MINERALIZATION</t>
  </si>
  <si>
    <t>Rock types: SANDSTONE; Mineralization: MALACHITE.</t>
  </si>
  <si>
    <t>KAUNGASHI AND UAMBO</t>
  </si>
  <si>
    <t>BORDERED ON THE WEST BY THE LUNGA RIVER AND ON THE EAST BY THE LUSHISHI RIVER, LUNGA BASIN</t>
  </si>
  <si>
    <t>ABOUT 100 KM SE OF KASENPA (400 ROAD KM MU OF Lusaka)</t>
  </si>
  <si>
    <t>SEDIMENT-HOSTED SULPHIDE DEPOSIT WITH SURFACE ENRICHMENT</t>
  </si>
  <si>
    <t>Rock types: SANDSTONE, QUARTZITE, LIMESTONE; Mineralization: MALACHITE, DIAMOND, IRON.</t>
  </si>
  <si>
    <t>CHIFUMPA</t>
  </si>
  <si>
    <t>500 METRES WE OF THE KASEHPA NANBUA ROAD</t>
  </si>
  <si>
    <t>80 KM SE OF KASEHPA</t>
  </si>
  <si>
    <t>ROKANA CORPORATION ESTIMATED A RESERVE OF 171,300 TONNES AVERAGING 4.17X COPPER AT A 1X COPPER CUTOFF.</t>
  </si>
  <si>
    <t>SUPERGENE ENRICHMENT OF SEDIMENT-HOSTED COPPER DEPOSIT</t>
  </si>
  <si>
    <t>Rock types: DOLOMITE, SHALE; Mineralization: COPPER, MALACHITE, CHALCOPYRITE.</t>
  </si>
  <si>
    <t>EUREKA/MIL DESPERANDUM</t>
  </si>
  <si>
    <t>EAST SIDE OF LUXANGA RIVER</t>
  </si>
  <si>
    <t>50 KM VEST OF Kapiri Mposhi</t>
  </si>
  <si>
    <t>FREEMAN (1988-2) ESTIMATED A POSSIBLE RESOURCE OF 250,000 TONNES @ 2.55X CL, LARGELY OXIDE.</t>
  </si>
  <si>
    <t>SUPERGENE ENRICHED COPPER</t>
  </si>
  <si>
    <t>Minerals: Copper</t>
  </si>
  <si>
    <t>LUMPUNA (NHELUSHI</t>
  </si>
  <si>
    <t>SOUTH AND SU OF LUMNSHYA NEAR THE KAFUSU ENERALD AREA</t>
  </si>
  <si>
    <t>NHELUSHI - 48 KM WEST; MITONDO - 35 KM WEST; AND LUMPUNA EAST - 25 KM SU OF LUMNSHYA</t>
  </si>
  <si>
    <t>LUMPUNA EAST HAS A FLAT-LYING ZONE SOME 500 M LONG, 150 M WIDE AND 4 M THICK AT DEPTHS OF 30 - 50 M BELOW SURFACE. TONNAGE IS ESTIMATED AT 800,000 TONNES WITH AN AVERAGE GRADE OF 0.95X COPPER. THE MITONDO DEPOSITS CONTAINS AN ESTIMATED 200,000 TONNES @ 0.70X COPPER. THE NHELUSHI DEPOSIT CONTAINS AN ESTIMATED 300,000 TONNES @ 1.24X COPPER. (ALL TONNAGE ESTIMATES BY FREEMAN, 1988).</t>
  </si>
  <si>
    <t>STRATIFORM COPPER IN ROCKS OF PRESUMED KATANGA AREA</t>
  </si>
  <si>
    <t>Rock types: QUARTZITE, SCHIST; Mineralization: COPPER, CHALCOPYRITE, PYRITE.</t>
  </si>
  <si>
    <t>KADOLA AREA</t>
  </si>
  <si>
    <t>SOUTH AND SU OF LUANSHYA</t>
  </si>
  <si>
    <t>SOUTH AND SU OF Luanshya</t>
  </si>
  <si>
    <t>BASE METALS</t>
  </si>
  <si>
    <t>PYRITE</t>
  </si>
  <si>
    <t>URANTUM</t>
  </si>
  <si>
    <t>NO ESTIMATE OF RESERVES OR RESOURCES WAS BEEN COMPLETED OTHER THAN AT MILLBERG (SEE); THE KADOLA COPPER PROSPECT, WHERE FREEMAN (1988-2) ESTIMATED A POSSIBLE 310,000 T @ 2.73% CU IN A STEEPLY DIPPING BOOT ABOUT 2.5 N THICK; AND THE EUREKA COPPER PROSPECT (SEE).</t>
  </si>
  <si>
    <t>SILICIFIED</t>
  </si>
  <si>
    <t>CARBONATE-HOSTED LEAD AND ZINC SULPHIDES</t>
  </si>
  <si>
    <t>KABANGA</t>
  </si>
  <si>
    <t>WEST OF LUSHNISHI RIVER</t>
  </si>
  <si>
    <t>1125 KM SU OF KITNE</t>
  </si>
  <si>
    <t>A MAGNETITE BOOY 100 X 40 M.</t>
  </si>
  <si>
    <t>NDOLA</t>
  </si>
  <si>
    <t>5 KN SOUTH OF Ndola</t>
  </si>
  <si>
    <t>25 KN NE OF LIANSNYA</t>
  </si>
  <si>
    <t>65 KN SE OF NUFULIRA</t>
  </si>
  <si>
    <t>GUERNSEY, NOS 389, 390, 394. IN THE 1960S, TWO HOLES WERE DRILLED ON THE SOUTH SIDE OF NDOLA DOWN. THESE HOLES WERE SPACED 650 M APART, AND WERE DRILLED TO INVESTIGATE THE LOWER ROAM, AND PARTICULARLY THE BRAWA NKUBUA ORE FORMATION.</t>
  </si>
  <si>
    <t>POSSIBLY 200,000 TONNES AT 1.2X COPPER (FREEMAN, 1988).</t>
  </si>
  <si>
    <t>KAFUBU AREA</t>
  </si>
  <si>
    <t>AREA WEST OF KAFUE RIVER (20 KM E-M BY ABOUT 20 KM N-S)</t>
  </si>
  <si>
    <t>20-40 KM WEST OF LUANSWIA OR SOUTH OF Kalulushi</t>
  </si>
  <si>
    <t>EMERALD</t>
  </si>
  <si>
    <t>CONTROLLED BY ZCCM MINE POLICE AS A SERVICE. THIS WAS ALL BUT ELIMINATED ILLEGAL MINING. ILLEGAL SELLING TO BUYERS WHO PATROL OUTSIDE THE RESTRICTED AREA IS RIFF. MOST MINING IS OPEN PIT</t>
  </si>
  <si>
    <t>SOME USING EQUIPMENT RENTED FROM ZCCM ONE OPERATOR INFORMED MGM THAT HE IS MINING UNDERGROUND ON A STEEPLY DIPPING</t>
  </si>
  <si>
    <t>WATER PRODUCING LEAD TO A DEPTH OF APPROX. 50 M.</t>
  </si>
  <si>
    <t>KAGEN</t>
  </si>
  <si>
    <t>BETWEEN KAFUE AND KAFUBU RIVERS</t>
  </si>
  <si>
    <t>20 TO 30 KM WEST OF LIAMSNYA AND SOUTH OF Kalulushi</t>
  </si>
  <si>
    <t>THE KAGEN STAFF HAVE ISSUED NO STATEMENT OF RESERVES, BUT THEY ARE OBVIOUSLY SUBSTANTIAL. IN ADDITION TO THE MINES, THERE ARE SEVERAL OTHER MINING OPPORTUNITIES WITHIN THEIR LIMITS THAT ARE KEEP HIDDEN FOR SECURITY REASONS. IN NOW'S OPINION A LIFE EXPECTANCY OF AT LEAST 25 YEARS CAN BE EXPECTED AT THE CURRENT MINING RATE OF OPEN PIT RESERVES. SIMPLE UNDERGROUND-MINING BY DECLINE IS LIKELY TO EXTEND THE LIFE OF THE MINES FOR AT LEAST A FURTHER 25 YEARS.</t>
  </si>
  <si>
    <t>EMERALD-BEARING SCHISTS/PEGMATITE OF THE MUYA SYSTEM</t>
  </si>
  <si>
    <t>Rock types: SCHIST; Mineralization: MAGNETITE; Formation: THREE STAGES OF PEGMATITE FORMATION.</t>
  </si>
  <si>
    <t>LUANSHYA DIVISION (LUANSHYA</t>
  </si>
  <si>
    <t>LUANSHYA AND BALUBA</t>
  </si>
  <si>
    <t>35 KM SE OF KIJUE</t>
  </si>
  <si>
    <t>GROSS ORE RESERVES IN THE LUANSHYA AND BALUBA MINES AS AT 31 MARCH 1990 WERE 75.68 MILLION TONNES @ 2.46% TOTAL COPPER.</t>
  </si>
  <si>
    <t>STRATIFORM COPPER IN LOWER-ROAN</t>
  </si>
  <si>
    <t>Rock: Granite, Schist; Minerals: Copper; Formation: Overlying Formation</t>
  </si>
  <si>
    <t>LUANSHYA OXIDES</t>
  </si>
  <si>
    <t>ADJACENT TO THE PRESENT MINE WORKINGS AT LUANSHYA DIVISION</t>
  </si>
  <si>
    <t>ALL WITHIN 10 KM OF THE TOWN OF Luanshya</t>
  </si>
  <si>
    <t>31.2 MILLION TONNES AT 2.38% TCU AND 1.81% AS CU.</t>
  </si>
  <si>
    <t>OXIDIZED STRATIFORM COPPER IN THE LOWER ROAN</t>
  </si>
  <si>
    <t>Mineralization: COPPER, MALACHITE.</t>
  </si>
  <si>
    <t>LUFUBU NORTH AND SOUTH</t>
  </si>
  <si>
    <t>IN THE ROAM - MULIASHI BASIN</t>
  </si>
  <si>
    <t>TO THE WEST OF THE LIANSHYA AND BALUBA MINES</t>
  </si>
  <si>
    <t>ABOUT 18 KM MNU OF LIANSHYA</t>
  </si>
  <si>
    <t>MOLYBENDUN</t>
  </si>
  <si>
    <t>INACTIVE.</t>
  </si>
  <si>
    <t>ESTIMATED AT: (1) 800,000 TONNES AT AN AVERAGE GRADE OF 10X COPPER AT LUFUBU NORTH; AND (2) 500,000 TONNES AT AN AVERAGE GRADE OF 15X COPPER AT LUFUBU SOUTH</t>
  </si>
  <si>
    <t>STRATIFORM COPPER IN LOWER ROAM.</t>
  </si>
  <si>
    <t>MULIASHI NORTH</t>
  </si>
  <si>
    <t>LUANSHYA - NL 16</t>
  </si>
  <si>
    <t>10 KM HW OF Luanshya</t>
  </si>
  <si>
    <t>BETWEEN ROAM EXTENSION AND BALUBA OREBOOIES</t>
  </si>
  <si>
    <t>961 MILLION TONNES AT AN AVERAGE GRADE OF 215% TOTAL COPPER AND 172% ACID SOLUBLE COPPER THESE RESERVES ARE OPEN PITTABLE WITH A LOW W/O RATIO</t>
  </si>
  <si>
    <t>STRATFORM OXIDE AND SULPHIDE COPPER IN LOWER ROAM.</t>
  </si>
  <si>
    <t>NIKU (KAFUBU)</t>
  </si>
  <si>
    <t>NEAR NIKU RIVER (TRIBUTARY OF KAFUBU) - MU PART OF KAFUBU ENERALD DISTRICT</t>
  </si>
  <si>
    <t>40 KM WEST OF LUANSWIA</t>
  </si>
  <si>
    <t>20 KM SOUTH OF KALUUUSHI</t>
  </si>
  <si>
    <t>EMERALDS</t>
  </si>
  <si>
    <t>EMERALD MINE</t>
  </si>
  <si>
    <t>UNKNOWN CONSIDERING THE LONG HISTORY AND LOCAL COMMENTS THAT CURRENT PRODUCTION IS INTERNITTENT</t>
  </si>
  <si>
    <t>RESERVES ARE PRESUMABLY SMALL TO THE LIMITS OF SAFE AND ECONOMIC OPEN PIT MINING.</t>
  </si>
  <si>
    <t>CHIMENE</t>
  </si>
  <si>
    <t>MUSHII AREA</t>
  </si>
  <si>
    <t>133 KM NE OF KARNE</t>
  </si>
  <si>
    <t>Rock types: QUARTZITE; Formation: ORIGIN AND FORMATION.</t>
  </si>
  <si>
    <t>CHETINA</t>
  </si>
  <si>
    <t>MXUSHI DISTRICT</t>
  </si>
  <si>
    <t>25 KM WEST OF MXUSHI</t>
  </si>
  <si>
    <t>ZANEX 1962 REPORTS 10,000 T AT 3.4 G/T ABOVE THE 12.2 N DEPTH.</t>
  </si>
  <si>
    <t>QUARTZ VEIN (7) SILICIFIED ZONE IN GREENSTONES</t>
  </si>
  <si>
    <t>A SILICEOUS FERRUGINOUS OUTCROP (67 N LONG BY 24 N WIDE) WITHIN FAULTED AND ALTERED SEDIMENTS AND GREENSTONES CUT BY QUARTZ VEINS.</t>
  </si>
  <si>
    <t>80 KM NE OF KARNE</t>
  </si>
  <si>
    <t>FREEMAN (1989) ESTIMATED A PROBABLE 4 MILLION T AT 1.2 X CU AND A POSSIBLE 4 MILLION T 1.2 X CU.</t>
  </si>
  <si>
    <t>DISSEMINATED SULPHIDES</t>
  </si>
  <si>
    <t>INTROTHERMAL (?) PORPHYRY COPPER (?)</t>
  </si>
  <si>
    <t>80 KM NE OF KABNE</t>
  </si>
  <si>
    <t>ONLY THE MINERALIZED APLITE WAS SUFFICIENTLY SAMPLED AND EXPOSED TO ALLOW A RESERVE ESTIMATE FOR THE SHAFT 1 AND SHAFT 1A WORKINGS OF 45,000 TONNES 8 2.88X CU (TO DEPTH OF 46 M).</t>
  </si>
  <si>
    <t>HYDROTHERMAL (7) POMPHYRY COPPER (7)</t>
  </si>
  <si>
    <t>NXUSHI COPPER DISTRICT</t>
  </si>
  <si>
    <t>230,000 T AT 1.84% CU</t>
  </si>
  <si>
    <t>NYDROTHERMAL (?) PORPWRY COPPER (?)</t>
  </si>
  <si>
    <t>80 KM NE OF KABAE</t>
  </si>
  <si>
    <t>FREEMAN (1989) ESTIMATED RESERVES FOR THE MUNSHIMENBA AND H ZONE (W EXTENSION) AT A PROBABLE 5.6 MILLION T AT 1.35% CU AND A POSSIBLE 12.7 MILLION T AT 1.2% CU.</t>
  </si>
  <si>
    <t>DISSEMINATED SLUPHIDES</t>
  </si>
  <si>
    <t>NYROTHERMAL (?)-PORPHYRY COPPER (?)</t>
  </si>
  <si>
    <t>NUNSHINENGA BERYL</t>
  </si>
  <si>
    <t>NXUSHI AREA</t>
  </si>
  <si>
    <t>NEAR NUNSHINENGA-LUNSEHENA CONFLUENCE</t>
  </si>
  <si>
    <t>60 KM EAST OF KAPIRI NYOSHI</t>
  </si>
  <si>
    <t>DORMANT</t>
  </si>
  <si>
    <t>PEGWAITITE</t>
  </si>
  <si>
    <t>N'SONANI</t>
  </si>
  <si>
    <t>SERENAE AREA</t>
  </si>
  <si>
    <t>19 KM SE OF KANONA</t>
  </si>
  <si>
    <t>MANGAMESE</t>
  </si>
  <si>
    <t>FORMER IRON WORKING</t>
  </si>
  <si>
    <t>Rock types: GRANITE, QUARTZITE, SCHIST.</t>
  </si>
  <si>
    <t>SERENJE</t>
  </si>
  <si>
    <t>SERENJE AREA</t>
  </si>
  <si>
    <t>NEAR Serenje VILLAGE AND UP TO 50 KM TO THE SOUTH</t>
  </si>
  <si>
    <t>TOURNALINE</t>
  </si>
  <si>
    <t>THE AREA HAS PRODUED MICA, TOURNALINE AND MINOR AMOUNTS OF BERYL. NO GEM RECORDED.</t>
  </si>
  <si>
    <t>VELOCITY MINE</t>
  </si>
  <si>
    <t>BULUNGU HILLS</t>
  </si>
  <si>
    <t>180 KM NE OF Kabwe</t>
  </si>
  <si>
    <t>ALTHOUGH MINERALIZATION FAIRLY CONTINUOUS AT 31 G AU/T</t>
  </si>
  <si>
    <t>HYDROTHERMAL VEIN AND SILICI FI CATION</t>
  </si>
  <si>
    <t>KAMBOKA</t>
  </si>
  <si>
    <t>PETAUKE AREA</t>
  </si>
  <si>
    <t>47 KM NORTH OF Petauke</t>
  </si>
  <si>
    <t>HYDROTHERMAL VEIN</t>
  </si>
  <si>
    <t>Rock types: GNEISS; Mineralization: PYRITE; Formation: UNDERLAIN BY LUSANDNA AND CHINDENI GROUP.</t>
  </si>
  <si>
    <t>CHIKOMBE</t>
  </si>
  <si>
    <t>SOUTH SIDE OF LUANGHA VALLEY</t>
  </si>
  <si>
    <t>SILICIFICATION - HYDROTHERMAL (?)</t>
  </si>
  <si>
    <t>Rock types: QUARTZITE, SCHIST; Mineralization: IRON; Formation: ALL OF THE SASARE GROUP.</t>
  </si>
  <si>
    <t>CHINKOMBE</t>
  </si>
  <si>
    <t>11 KM AU OF SASARE MINE</t>
  </si>
  <si>
    <t>58 KM NORTH OF Petauke</t>
  </si>
  <si>
    <t>TITANIUM</t>
  </si>
  <si>
    <t>ACCORDING TO GEOLOGICAL SURVEY DATA CARDS, THIS IS A LARGE RESOURCE WITH TYPICAL ASSAYS: TI02 44.00X, FE0 32.71X, FE203 20.95X, NNO 0.35X, CAO 0.04X, NGO 1.56X.</t>
  </si>
  <si>
    <t>NETANORPHIC DEPOSIT</t>
  </si>
  <si>
    <t>Rock types: QUARTZITE, SCHIST.</t>
  </si>
  <si>
    <t>ALL</t>
  </si>
  <si>
    <t>PETALINE DISTRICT</t>
  </si>
  <si>
    <t>55 KM NW OF PETALINE</t>
  </si>
  <si>
    <t>HYDROTHERMAL QUARTZ VEINS</t>
  </si>
  <si>
    <t>Rock types: GRANITE, SCHIST; Mineralization: COPPER, GOLD, IRON; Formation: UNDERLAIN BY THE MUEZE FORMATION OF THE SASARE GROUP.</t>
  </si>
  <si>
    <t>SASARE</t>
  </si>
  <si>
    <t>PETAUKE DISTRICT</t>
  </si>
  <si>
    <t>38 KM NORTH OF Petauke</t>
  </si>
  <si>
    <t>UNKNOWN IN SITU RESERVES. VASTE DUMP MATERIAL, ACCORDING TO MINEX, CONTAINS 13,900 T @ 1.04 - 1.07 G/T. SOME PRODUCTION OF SILVER HAS BEEN RECORDED - APPROXIMATELY 20 PARTS AG TO 100 PARTS OF AU. GOLD FINENESS IS NEVERTHELESS REPORTED AT 978.</t>
  </si>
  <si>
    <t>HYDROTHERMAL VEIN SYSTEM</t>
  </si>
  <si>
    <t>Rock types: GRANITE, SANDSTONE, QUARTZITE; Mineralization: GOLD, IRON.</t>
  </si>
  <si>
    <t>LUTENBUE REEF</t>
  </si>
  <si>
    <t>CHIPATA AREA</t>
  </si>
  <si>
    <t>10 KM SE FROM Chipata</t>
  </si>
  <si>
    <t>HYDROTHERMAL VEIN ACCOMPANIED BY SILICIFICATION</t>
  </si>
  <si>
    <t>Rock: Quartzite, Schist</t>
  </si>
  <si>
    <t>MADZIMOTO GROUP</t>
  </si>
  <si>
    <t>148 KN NE OF PETAUXE</t>
  </si>
  <si>
    <t>.</t>
  </si>
  <si>
    <t>HYDROTHERMAL QUARTZ VEIN</t>
  </si>
  <si>
    <t>Rock types: GRANITE, QUARTZITE, GNEISS; Mineralization: COPPER, MALACHITE, CHALCOPYRITE; Formation: A SERIES.</t>
  </si>
  <si>
    <t>KILALAHIROMBUE - KAKAROBERT - YANYAUKI</t>
  </si>
  <si>
    <t>KASEHPA SALIENT</t>
  </si>
  <si>
    <t>124 KH SU OF KASEHPA</t>
  </si>
  <si>
    <t>GOLD?</t>
  </si>
  <si>
    <t>MAY BE PART OF A WALL ROCK OF A MINERALIZED SHEAR; KILALAMIROH6WE-3: A FEW BOULDERS OF SILICIFIED LIMONITE</t>
  </si>
  <si>
    <t>BOTH AS MASSIVE AND AS BOXWORKS SIMILAR TO SHINGANDA TYPE (SEE KARARI-KATOKA GROUP) SHALL STRINGERS OF VEIN QUARTZ AND SOME SHALE FLOAT; KILALAMIROHBWE-1: A 46 CM WIDE QUARTZ VEIN IN BIOTITE SCHIST WITH SOME PATCHES OF SILICEOUS LIMONITE AND SPARSE MALACHITE; KILALAHIROM8WE-4: A NORTHEASTERLY TRENDING</t>
  </si>
  <si>
    <t>1.5 M -1.8 M WIDE</t>
  </si>
  <si>
    <t>LUENA</t>
  </si>
  <si>
    <t>BEINER IN THE DONGUE AND LUENA RIVERS WEST OF KAGMA</t>
  </si>
  <si>
    <t>THE EAST BOUNDARY IS 30 KM MU OF KAGMA</t>
  </si>
  <si>
    <t>Rock types: GRANITE, METASEDIMENT; Mineralization: DIAMOND; Formation: KATANGA SUPERGROUP.</t>
  </si>
  <si>
    <t>KAJESU 1 TO 3 GROUP</t>
  </si>
  <si>
    <t>114 KM SU OF KASENPA</t>
  </si>
  <si>
    <t>GOLD ?</t>
  </si>
  <si>
    <t>HYDROTHERMAL VEIN WITH ASSOCIATED SILICIFICATION AND SULPHIDES</t>
  </si>
  <si>
    <t>KALOMO</t>
  </si>
  <si>
    <t>SE</t>
  </si>
  <si>
    <t>THE AREA IS 40 KM SE OF KALOMO</t>
  </si>
  <si>
    <t>KAMACHOPOLO-1 AND CHAMBORNE-1 GROUP</t>
  </si>
  <si>
    <t>108 KM SU OF KASEHPA</t>
  </si>
  <si>
    <t>INTOROTHERMAL OCCURRENCES</t>
  </si>
  <si>
    <t>WITH ASSOCIATED SELECTIFICATION AND SULPHIDES</t>
  </si>
  <si>
    <t>KARARI - KATOKA GROUP</t>
  </si>
  <si>
    <t>90 KM SU OF KASENPA</t>
  </si>
  <si>
    <t>HYDROTHERMAL WITH ASSOCIATED SILICIFICATION AND SULPHIDES</t>
  </si>
  <si>
    <t>ACID INTRUSIVES INTO KINDELUNGU CLASTIC SEDIMENTS, MAINLY SILTSIGNES.</t>
  </si>
  <si>
    <t>SHINGANDA (WESTERN SUN)</t>
  </si>
  <si>
    <t>70 KM SSE OF KALENGUA, STRADDLING THE KAOMA ROAD</t>
  </si>
  <si>
    <t>SUPERGENE COPPER ACCUMULATION</t>
  </si>
  <si>
    <t>Rock: Dolomite; Minerals: Copper</t>
  </si>
  <si>
    <t>DONGUE GOLD GROUP</t>
  </si>
  <si>
    <t>DONGUE RIVER (NORTH SIDE)</t>
  </si>
  <si>
    <t>95 KM SM OF KASENPA</t>
  </si>
  <si>
    <t>NO RESERVES. GOLD VALUES RESTRICTED TO NEAR SURFACE ENRICHMENT OF APPROXIMATELY ONE METER DEPTH.</t>
  </si>
  <si>
    <t>EPIGENETIC</t>
  </si>
  <si>
    <t>FRACTURE INFILLINGS.</t>
  </si>
  <si>
    <t>LALAFUTA</t>
  </si>
  <si>
    <t>NORTH OF NUMBIA - MANCOYA ROAD</t>
  </si>
  <si>
    <t>APPROXIMATELY 150 KM WEST OF NUMBIA</t>
  </si>
  <si>
    <t>DIAMOND LOCALITY</t>
  </si>
  <si>
    <t>Mineralization: DIAMOND.</t>
  </si>
  <si>
    <t>KAFUE SALIENT</t>
  </si>
  <si>
    <t>LUNGA BASIN EAST</t>
  </si>
  <si>
    <t>90 KM MU FROM MUNSUA</t>
  </si>
  <si>
    <t>TOLD (7)</t>
  </si>
  <si>
    <t>BISMUTH (7)</t>
  </si>
  <si>
    <t>MYDROTHERMAL MULTI-VEINED (?) OR SKARM (?)</t>
  </si>
  <si>
    <t>Rock types: SHALE; Mineralization: COPPER, CHALCOPYRITE, PYRITE.</t>
  </si>
  <si>
    <t>KATANGA COPPER</t>
  </si>
  <si>
    <t>70 KN NORTH OF NUMBWA, SOUTH LUNGA BASIN</t>
  </si>
  <si>
    <t>ABOUT 265 ROAD KN WEST OF KABNE</t>
  </si>
  <si>
    <t>LIMESTONE-NOSTED COPPER-ZINC-SILVER GOSSAM WITH MALACHITE STAINING</t>
  </si>
  <si>
    <t>Rock types: LIMESTONE, METASEDIMENT; Mineralization: MALACHITE, IRON, HEMATITE; Formation: ARENACEOUS METASEDIMENTS OF THE RUNDELUNGU SERIES.</t>
  </si>
  <si>
    <t>KAUNGASHI AND MUTAPANDA</t>
  </si>
  <si>
    <t>15 TO 30 KM EAST OF THE MUMBUA-KASENPA ROAD</t>
  </si>
  <si>
    <t>100 TO 130 KM NM OF MUMBUA</t>
  </si>
  <si>
    <t>IRON SKARM DEPOSITS</t>
  </si>
  <si>
    <t>LUBUNGU - KAFUALA GROUP</t>
  </si>
  <si>
    <t>KAHLE RIVER VICINITY</t>
  </si>
  <si>
    <t>100 KM MNM OF WANBUA</t>
  </si>
  <si>
    <t>ACCORDING TO GEOLOGICAL SURVEY DATA CARDS: LUBUNGU - 175.2 MILLION T @ 56.6X FE, 0.57X P205.</t>
  </si>
  <si>
    <t>VEINS AND STRUCTURALLY RELATED IRON DEPOSITS</t>
  </si>
  <si>
    <t>Rock types: GRANITE, SCHIST; Mineralization: COPPER, MALACHITE, PYRITE; Formation: IT IS AN IRON FORMATION.</t>
  </si>
  <si>
    <t>BOB ZINC</t>
  </si>
  <si>
    <t>60 KM NORTH OF MANHMA, SOUTH LUNGA BASIN</t>
  </si>
  <si>
    <t>260 ROAD KM WEST OF KABNE</t>
  </si>
  <si>
    <t>A RESOURCE OF 276,000 T a 11.6% Zn AND 150 G/T Ag IS ESTIMATED (FREEMAN, 1989). WITHIN THE UPPER PART OF THE DEPOSIT, A HIGHER GRADE LENS EXISTS (110 M LONG, 5 M WIDE AND 16 M HIGH) WHICH CONTAINS 90,000 T GRADING 22.77% Zn AND 95 G/T Ag.</t>
  </si>
  <si>
    <t>CARBONATE-HOSTED ZINC SILICATE/SILVER LENS MINERALIZATION</t>
  </si>
  <si>
    <t>Rock types: METASEDIMENT; Formation: ARENACEOUS METASEDIMENTS OF THE KUNDELUNGU SERIES OF THE PRECAMBRIAN KATANGA SUPERGROUP.</t>
  </si>
  <si>
    <t>KAMITOBO (KAMTOBO)</t>
  </si>
  <si>
    <t>NUMBWA DISTRICT</t>
  </si>
  <si>
    <t>25 KM NNW OF NUMBWA</t>
  </si>
  <si>
    <t>NO RESERVES OR RESOURCES. BRANDT(1955; IN FREEMAN, 1987-1988) STATED THAT ABOUT 30 T OF MALACHITE ASSAYING ABOUT 20% CU HAD BEEN QUARRIED FROM THE OUTCROP. HOWEVER, ONLY A FEW HUNDRED T OF MATERIAL AT THIS GRADE ARE LIKELY TO HAVE BEEN LEFT BEHIND.</t>
  </si>
  <si>
    <t>STRATIFORM COPPER IN SEDINENTS OF UPPER KATANGA AGE</t>
  </si>
  <si>
    <t>Rock types: LIMESTONE, SHALE; Mineralization: COPPER, MALACHITE, IRON.</t>
  </si>
  <si>
    <t>LULU</t>
  </si>
  <si>
    <t>NUNBUA DISTRICT</t>
  </si>
  <si>
    <t>ABOUT 50 KM NW OF NUNBUA</t>
  </si>
  <si>
    <t>NO RESERVES OR RESOURCES HAVE BEEN DELINEATED</t>
  </si>
  <si>
    <t>GOSSAM</t>
  </si>
  <si>
    <t>MK5/88</t>
  </si>
  <si>
    <t>15 KN NW OF NUNBUA</t>
  </si>
  <si>
    <t>STENITE-HOSTED COPPER MINERALIZATION</t>
  </si>
  <si>
    <t>Mineralization: MALACHITE, CHALCOPYRITE, PYRITE.</t>
  </si>
  <si>
    <t>SABLE ANTELOPE</t>
  </si>
  <si>
    <t>NUMBIA DISTRICT</t>
  </si>
  <si>
    <t>40 KM NORTHMEST OF NUMBIA</t>
  </si>
  <si>
    <t>UUKNOAN</t>
  </si>
  <si>
    <t>COPPER REPLACEMENT DEPOSITS</t>
  </si>
  <si>
    <t>Rock types: GRANITE, DOLOMITE, LIMESTONE; Mineralization: CHALCOPYRITE, PYRITE.</t>
  </si>
  <si>
    <t>SILVER KING</t>
  </si>
  <si>
    <t>13 KM MU OF THE SABLE ANTELOPE NINE</t>
  </si>
  <si>
    <t>53 KM NORTNATEST OF NUNBNA</t>
  </si>
  <si>
    <t>BARITE</t>
  </si>
  <si>
    <t>COPPER SILVER SHEAR ZONE DEPOSIT</t>
  </si>
  <si>
    <t>Rock types: GRANITE; Mineralization: MALACHITE.</t>
  </si>
  <si>
    <t>KARENDA GROUP</t>
  </si>
  <si>
    <t>SURROUNDING KARENDA VILLAGE</t>
  </si>
  <si>
    <t>37 KM MNM OF NUMBUA</t>
  </si>
  <si>
    <t>THE TWO LARGEST DEPOSITS ARE: KALLIASANTNE ESTIMATED BY ANGLO AMERICAN TO BE 10 MILLION T @ 40-50X FE; AND CHAMASOKA ESTIMATED BY BRANDT TO CONTAIN 5 MILLION T @ 50-60X FE.</t>
  </si>
  <si>
    <t>Rock types: SCHIST; Mineralization: COPPER, IRON, MAGNETITE; Reserves: 10 MILLION T.</t>
  </si>
  <si>
    <t>MALUSANGA GROUP</t>
  </si>
  <si>
    <t>NEAR MALUSANGA VILLAGE</t>
  </si>
  <si>
    <t>CENTRED 40 KM WEST OF MUNGUA</t>
  </si>
  <si>
    <t>THE TWO LARGEST DEPOSITS IN THE GROUP HAVE RESERVES ESTIMATED BY ANGLO AMERICAN AS FOLLOWS: MATUMBUE: 26 MILLION T 8 48.8X FE, 26.1X SI02, MATUMBUE EXTENSION: 12 MILLION T 8 61.0X FE, 7.8X SI02, MURONDE: 5 MILLION T 8 44.5X FE, 30.9X SI02</t>
  </si>
  <si>
    <t>Rock types: GRANITE, SCHIST, LIMESTONE; Mineralization: CHALCOPYRITE, PYRITE, IRON; Formation: SIMILAR TO KABENDA GROUP; Reserves: 4 MILLION T.</t>
  </si>
  <si>
    <t>KAINDU</t>
  </si>
  <si>
    <t>CHIEF KAINDU AREA, NUNSUA DISTRICT</t>
  </si>
  <si>
    <t>60 KN NORTH OF NUNSUA</t>
  </si>
  <si>
    <t>ANETRYST</t>
  </si>
  <si>
    <t>ANETRYST VEIN</t>
  </si>
  <si>
    <t>GOOD QUALITY SAMPLES BROUGHT IN TO ZCCH IN DECEMBER</t>
  </si>
  <si>
    <t>NIPPO.</t>
  </si>
  <si>
    <t>MUNSUA AREA</t>
  </si>
  <si>
    <t>80 KM HMW OF MUNSUA (95 KM BY ROAD)</t>
  </si>
  <si>
    <t>AS AT JANUARY 1968, RESERVES TOTALED 10,500 T AT 7.8X CU, BUT IT WAS SPECULATED THAT DEVELOPMENT ON THE 60 M LEVEL WOULD INCREASE THIS FIGURE. NO INFORMATION IS CURRENTLY AVAILABLE TO WGN ON SUBSEQUENT DEVELOPMENTS.</t>
  </si>
  <si>
    <t>COPPER IN ""GUARTZOSE"" VEIN-NATERIAL CUTTING DARK GREY BANDED ARGILLITES</t>
  </si>
  <si>
    <t>Mineralization: COPPER, MALACHITE, AZURITE.</t>
  </si>
  <si>
    <t>CHIPILI</t>
  </si>
  <si>
    <t>IN THE KAFUE NATIONAL PARK, EAST OF KAFNALA</t>
  </si>
  <si>
    <t>ON EAST SIDE OF THE KAFUE RIVER, APPROXIMATELY 75 KM WEST OF HUNBUA</t>
  </si>
  <si>
    <t>Rock types: GRANITE, SHALE, METASEDIMENT; Mineralization: DIAMOND.</t>
  </si>
  <si>
    <t>KAFMALA</t>
  </si>
  <si>
    <t>IN THE KAFUE NATIONAL PARK, NEAR KAFMALA REST CAMP</t>
  </si>
  <si>
    <t>APPROXIMATELY 45 KM BY ROAD FROM THE NANHUA-KAOMA ROAD</t>
  </si>
  <si>
    <t>SPARSELY DIAMONDIFEROUS KIMBERLITES</t>
  </si>
  <si>
    <t>Rock types: GRANITE, SHALE; Mineralization: DIAMOND; Formation: THE GROUP.</t>
  </si>
  <si>
    <t>MA19/40</t>
  </si>
  <si>
    <t>NUNBUA AREA</t>
  </si>
  <si>
    <t>13 KM NE OF NUNBUA</t>
  </si>
  <si>
    <t>IF A STRIKE LENGTH OF 60 M IS ASSUMED FOR THE COPPER POD, IT COULD CONTAIN APPROXIMATELY 60,000 T OF MINERALIZED MATERIAL WITH AN AVERAGE GRADE OF ABOUT 2% CU.</t>
  </si>
  <si>
    <t>STRATAGOUND COPPER IN THE KATANGA SUPERGROUP</t>
  </si>
  <si>
    <t>Rock types: SANDSTONE, DOLOMITE, SHALE; Mineralization: COPPER, MALACHITE, CHALCOPYRITE; Formation: PARALLEL TO THE BEDDING OF A SERIES.</t>
  </si>
  <si>
    <t>MYOBA GROUP</t>
  </si>
  <si>
    <t>SU OF LUXANGA SUAMP</t>
  </si>
  <si>
    <t>30 TO 50 KM NE OF NUNBUA</t>
  </si>
  <si>
    <t>GOSSANS</t>
  </si>
  <si>
    <t>Rock types: SANDSTONE; Mineralization: GOLD, HEMATITE.</t>
  </si>
  <si>
    <t>SHINYOKA GROUP</t>
  </si>
  <si>
    <t>NANGOKA BRIDGE AREA, LUSAKA-HUHBUA ROAD</t>
  </si>
  <si>
    <t>110 KM UNU OF Lusaka</t>
  </si>
  <si>
    <t>GEOLOGICAL SURVEY DATA CAROS GIVE THE FOLLOWING RESERVES; SHIHYOKA, CHINOA, MUELA, NAMBUTALI, PROBABLE OPEN PIT, 2 MILLION T 3 57% FE PROBABLE OPEN PIT 700,000 500,000 678,000 58% FE 56% FE 59% FE PROBABLE OPEN PIT PROBABLE OPEN PIT</t>
  </si>
  <si>
    <t>IRON REPLACEMENT DEPOSITS</t>
  </si>
  <si>
    <t>Rock types: LIMESTONE; Mineralization: PYRITE, GOLD, IRON; Reserves: 5 MILLION T.</t>
  </si>
  <si>
    <t>MILLBERG BERYL</t>
  </si>
  <si>
    <t>WORTH SIDE OF A TRIBUTARY OF THE MULUNGUSHI RIVER</t>
  </si>
  <si>
    <t>APPROXIMATELY 11 KM SM OF Kapiri Mposhi</t>
  </si>
  <si>
    <t>PERMATITES</t>
  </si>
  <si>
    <t>Formation: THE GROUP.</t>
  </si>
  <si>
    <t>KAPAMBALELA - NUCHINDA (GOLD-COPPER)</t>
  </si>
  <si>
    <t>MADNBOSHI GROUP</t>
  </si>
  <si>
    <t>50 KM NORTH OF Lusaka</t>
  </si>
  <si>
    <t>NTOROTHERMAL VEINS AND STOCKLORKS</t>
  </si>
  <si>
    <t>Rock types: QUARTZITE, SCHIST; Mineralization: MALACHITE, GOLD, IRON; Formation: IRON FORMATION.</t>
  </si>
  <si>
    <t>LUBENBA</t>
  </si>
  <si>
    <t>KABUE AREA</t>
  </si>
  <si>
    <t>42 KM NE OF KABUE</t>
  </si>
  <si>
    <t>UNKNOWN, BELIEVED MINED OUT.</t>
  </si>
  <si>
    <t>SUPERGENE VEIN-TYPE OCCURRENCE</t>
  </si>
  <si>
    <t>MANGAWESE OXIDES OUTCROP ALONG A SMALL RIDGE 180 M LONG BY 15 M WIDE AND 7.5 M NIGH.</t>
  </si>
  <si>
    <t>AIRFIELD AREA</t>
  </si>
  <si>
    <t>SOUTH-CENTRAL PART OF BROKEN HILL MINING LICENCE ML 1</t>
  </si>
  <si>
    <t>IMMEDIATELY SOUTH OF THE MO. 2 OREBOOT, 1.5 KM SE OF THE MINE PLANT</t>
  </si>
  <si>
    <t>PITTING IN 1958 OUTLINED A SILICATE "BLANKET" DEPOSIT THAT WAS THEN ESTIMATED TO CONTAIN 65,000 T GRADING 16X 2 AND 5X Pb. LE ROUX SUGGESTED THERE MAY BE ABOUT 40,000 T REMAINING. OVERBURDEN IS FROM 0.4 TO 3.0 N THICK AN AVERAGES 2.5 N, AND THE MINERALIZED THICKNESS AVERAGES 1.3 N. IN 1987, THE LOW GRADE DISSEMINATED DEPOSIT WAS ESTIMATED BY HALLDANE TO CONTAIN (DRILL INDICATED) 4.5 MILLION T a 3.6X TOTAL Zn-Pb, WITH 64X OF THE CONTAINED METAL AS Zn. DRILLING WAS RESTRICTED TO A SMALL AREA (450 N X 80 N X 50 N DEEP - MAX. 90 N DEPTH). A HIGHER GRADE SECTION OF 981,000 T a 4.6X TOTAL METAL OVERLIES THE Mo. 2 VINZE.</t>
  </si>
  <si>
    <t>ZINC-LEAD SILICATE BLANKET AND DISSEMINATED</t>
  </si>
  <si>
    <t>LOW GRADE &amp; BLOBBY MINERALIZATION</t>
  </si>
  <si>
    <t>AVENUE AREA</t>
  </si>
  <si>
    <t>CENTRAL PART OF BROKEN HILL MINING LICENCE ML 1</t>
  </si>
  <si>
    <t>INMEDIATELY TO THE EAST OF THE MINE PLANT</t>
  </si>
  <si>
    <t>NHL</t>
  </si>
  <si>
    <t>MINERALIZED LATENTIC SOIL HORIZON (GOSSAM ?)</t>
  </si>
  <si>
    <t>Rock types: DOLOMITE.</t>
  </si>
  <si>
    <t>FOUNDRY AREA</t>
  </si>
  <si>
    <t>SOUTHEAST PART OF BROKEN HILL MINING LICENCE ML 1</t>
  </si>
  <si>
    <t>3 KM SE OF THE MINE PLANT AREA</t>
  </si>
  <si>
    <t>6 SMALL DEPOSITS OF Zn SILICATE MINERALIZATION DOMI TO ABOUT 20 M, ESTIMATED TO CONTAIN A FEW THOUSAND TOWNES a 30-40X Zn. PD VALUES ARE FROM 0.5-2.0X.</t>
  </si>
  <si>
    <t>CARBONATE-HOSTED POD &amp; PIPE ZINC SILICATE MINERALIZATION</t>
  </si>
  <si>
    <t>Rock types: DOLOMITE; Formation: A GROUP.</t>
  </si>
  <si>
    <t>KASHITU AND OLD GRAIN STORE AREAS</t>
  </si>
  <si>
    <t>SE CORNER OF BROKEN HILL MINING LICENCE ML 1</t>
  </si>
  <si>
    <t>6 KM SE OF MAIN MINE AREA AND 200 M NORTH OF 5/6 OREBODY</t>
  </si>
  <si>
    <t>WILL</t>
  </si>
  <si>
    <t>CARBONATE-HOSTED VEIN AND POD &amp; DISSEMINATED ZINC SILICATE MINERALIZATION</t>
  </si>
  <si>
    <t>THE AREAS ARE WITHIN THE KABAE SYNCLINE AND ARE UNDERLAIN BY MASSIVE DOLONITE.</t>
  </si>
  <si>
    <t>MINE CLUB &amp; SPEAK'S AREA</t>
  </si>
  <si>
    <t>NORTH-CENTRAL PART OF BROKEN HILL MINING LICENCE ML 1</t>
  </si>
  <si>
    <t>DEPOSITS LIE BETWEEN GREAT NORTH ROAD &amp; MINE PLANT AREA</t>
  </si>
  <si>
    <t>NEITHER DEPOSIT WAS SUFFICIENT DRILL DATA TO MAKE A RESERVE ESTIMATE, BUT MALDAME (1989) WAS SUGGESTED A RESOURCE (DRILL INDICATED AND INFERRED), OVER A STRIKE LENGTH OF 600 M AND TO A DEPTH OF 200 M: MINE CLUB - 666,000 T @ 11.7% Zn AND 1.7% Pb SPEAK'S - 1.94 MILLION T @ 12% Zn AND 2% Pb IT SHOULD BE NOTED THAT, ACCORDING TO BANDA, THE LOCATION IS VERY UNSUITED TO MINING (QUE TO SURFACE BUILDINGS AND UNSTABLE GROUND) AND THE EXTRACTABLE AMOUNT OF THE RESOURCE WILL BE MUCH LESS THAN THE ABOVE FIGURES.</t>
  </si>
  <si>
    <t>IRONSTONE-HOSTED ZINC-LEAD SILICATE MINERALIZATION</t>
  </si>
  <si>
    <t>Rock types: SANDSTONE, DOLOMITE, SHALE; Mineralization: COPPER, IRON.</t>
  </si>
  <si>
    <t>NUFUXUSHI COPPER (ZINC)</t>
  </si>
  <si>
    <t>KAPIRI MPOSHI AREA</t>
  </si>
  <si>
    <t>APPROXIMATELY 42 ROAD ON NORTH OF KABNE</t>
  </si>
  <si>
    <t>IN SIX ZONES, IT WAS ESTIMATED (FREEMAN, 1989) THAT THERE IS A RESOURCE OF APPROX. 6 MILLION T GRADING 1.23% CLAND 1.4 MILLION T @ 0.70% Zn. THE DRILL HOLE SPACING IS NOT ADEQUATE ENOUGH TO MAKE AN ACCURATE "RESERVE" CALCULATION OF THE MINERALIZED ZONES.</t>
  </si>
  <si>
    <t>VOLCANOGENIC (?) STRATIFORM DISSEMINATED SULPHIDE</t>
  </si>
  <si>
    <t>Rock types: QUARTZITE, DOLOMITE; Mineralization: MALACHITE, AZURITE, CHALCOPYRITE; Formation: DIAMOND DRILLING ADDED TO THE GEOLOGICAL INFORMATION.</t>
  </si>
  <si>
    <t>SEBENBERE COPPER AND KABWE WEST ZINC</t>
  </si>
  <si>
    <t>KABWE MINING DISTRICT</t>
  </si>
  <si>
    <t>14 KM NU OF Kabwe</t>
  </si>
  <si>
    <t>BUT A JAPAN-ZAMBIA JOINT VENTURE (JAPANESE GOV'T AND MINCK) IS PRESENTLY EXPLORING THE ZINC POTENTIAL OF THE WESTERN PART OF THE PROPERTY.</t>
  </si>
  <si>
    <t>RIO TIMTO CALCULATED A RESOURCE OF 14 MILLION I B 17% CU (NO CUT-OFF INDICATED) ACCORDING TO FREEMAN (1968)</t>
  </si>
  <si>
    <t>THIS RESOURCE WAS TOO GENEROUS</t>
  </si>
  <si>
    <t>KABWE MINE (BROKEN HILL)</t>
  </si>
  <si>
    <t>KARNE DIVISION'S BROKEN HILL MINING LICENCE AREA - ML 1</t>
  </si>
  <si>
    <t>IN TOWN OF KARNE</t>
  </si>
  <si>
    <t>140 ROAD ON NORTH OF LUSAKA (ON THE GREAT NORTH ROAD)</t>
  </si>
  <si>
    <t>OPERATING MINE</t>
  </si>
  <si>
    <t>AS OF MARCH 31, 1990: 000'S T % ZN % PB FULLY DEVELOPED 338 193 67 PARTLY DEVELOPED 337 153 21 UNDEVELOPED 290 175 30 THE NO 2 OREBOXY, WHICH IS TABULAR, SILICATE-OXIDE ZN MINERALIZATION (WILLEMITE) WITH IRON OXIDES, MAKES UP THE MAJORITY OF THE RESERVES, AND IS ESTIMATED TO CONTAIN ABOUT +800,000 T A 14% ZN &amp; +1% PB TAILINGS RESOURCES ARE: LEACH PLANT RESIDUES OF 3 MILLION T A 83% PB &amp; 55% ZN, ISF SLAGS OF 1 MILLION T A 07% PB &amp; 83% ZN AND OTHERS OF 1 MILLION T A 54% PB &amp; 126% ZN (ZCCM, 1990)</t>
  </si>
  <si>
    <t>CARBONATE-HOSTED</t>
  </si>
  <si>
    <t>CHIMANDA</t>
  </si>
  <si>
    <t>5 KM WEST OF Kabwe</t>
  </si>
  <si>
    <t>ESTIMATED RESOURCE IF ALL SEPARATE POOS AND LENSES ADDED TOGETHER ARE: 87,000 T @ 1.87X 2n AND 47,000 T @ 2.74X PD TO DEPTHS OF 50-100 M BELOW SURFACE (FREEMAN, 1989). A SOIL AND LATERITE RESOURCE (CALLED 'PROBABLE ONE RESERVE' BY MINEX) OF J34,000 T @ 1.34X PD WAS CALCULATED IN 1985.</t>
  </si>
  <si>
    <t>NYDROTHERNAL POD AND VEIN MINERALIZATION</t>
  </si>
  <si>
    <t>Rock types: QUARTZITE, SCHIST, DOLOMITE.</t>
  </si>
  <si>
    <t>RIO TIMTO CALCULATED A RESOURCE OF 14 MILLION T @ 1.7% CU (NO CUT-OFF INDICATED). ACCORDING TO FREEMAN (1968), THIS RESOURCE WAS TOO GENEROUS, IE., EXTRAPOLATED INTERCEPTS TOO FAR, AND HIS CALCULATIONS APPEAR TO BE MORE REALISTIC: FROM 100-460 M DEPTH, 5.7 MILLION T GRADING 1.9% CU (CUT-OFF OF 1% Cu).</t>
  </si>
  <si>
    <t>STRATIFORM COPPER DEPOSIT (WITH RELATED ? DISSEMINATED ZINC)</t>
  </si>
  <si>
    <t>Rock: Quartzite, Schist; Minerals: Copper</t>
  </si>
  <si>
    <t>KABWE DIVISIONS BROKEN HILL MINING LICENCE AREA - ML 1</t>
  </si>
  <si>
    <t>IN TOWN OF Kabwe 140 ROAD KM NORTH OF Lusaka (ON THE GREAT NORTH ROAD)</t>
  </si>
  <si>
    <t>AS OF MARCH 31, 1990: 000s T % Zn % Pb FULLY DEVELOPED 338 19.3 6.7 PARTLY DEVELOPED 337 15.3 2.1 UNDEVELOPED 290 17.5 3.0 THE No. 2 OREBODY, WHICH IS TABULAR, SILICATE-OXIDE Zn MINERALIZATION (WILLEMITE) WITH IRON OXIDES, MAKES UP THE MAJORITY OF THE RESERVES, AND IS ESTIMATED TO CONTAIN ABOUT +800,000 T @ 14% Zn &amp; +1% Pb. TAILINGS RESOURCES ARE: LEACH PLANT RESIDUES OF 3 MILLION T @ 8.3% Pb &amp; 5.5% Zn, ISF SLAGS OF 1 MILLION T @ 0.7% Pb &amp; 8.3% Zn AND OTHERS OF 1 MILLION T @ 5.4% Pb &amp; 12.6% Zn (ZCCM 1990).</t>
  </si>
  <si>
    <t>CARBONATE-HOSTED ZINC-LEAD PIPE-LIKE DEPOSITS</t>
  </si>
  <si>
    <t>Rock: Schist, Dolomite; Minerals: Copper; Formation: Roan Group</t>
  </si>
  <si>
    <t>ESTIMATED RESOURCE IF ALL SEPARATE PODS AND LENSES ADDED TOGETHER ARE: 87,000 T @ 1.87% Zn AND 47,000 T @ 2.74% Pb TO DEPTHS OF 50-100 M BELOW SURFACE (FREEMAN 1989). A SOIL AND LATERITE RESOURCE (CALLED PROBABLE ORE RESERVE BY MINEX) OF 134,000 T @ 1.34% Pb WAS CALCULATED IN 1985.</t>
  </si>
  <si>
    <t>HYDROTHERMAL POD AND VEIN MINERALIZATION</t>
  </si>
  <si>
    <t>Rock types: QUARTZITE, SCHIST, GNEISS.</t>
  </si>
  <si>
    <t>CAMARNOR ZINC</t>
  </si>
  <si>
    <t>KABWE AREA</t>
  </si>
  <si>
    <t>ABOUT 35 KM NW OF Kabwe</t>
  </si>
  <si>
    <t>VANADIUM</t>
  </si>
  <si>
    <t>FREEMAN (1988) ESTIMATES RESOURCES, FOR A BODY 1-1.5 M THICK AND TO A DEPTH OF 30 M, OF 37,000 T AVERAGING 11.7% Zn AND 1.4% Pb.</t>
  </si>
  <si>
    <t>SECONDARY ZINC-LEAD MINERALIZATION IN LATERITIC CLAYS AND DOLOMITE</t>
  </si>
  <si>
    <t>Rock types: DOLOMITE, SHALE; Mineralization: PYRITE, HEMATITE.</t>
  </si>
  <si>
    <t>LIKETULA GROUP</t>
  </si>
  <si>
    <t>MUFUKUSHI RIVER</t>
  </si>
  <si>
    <t>35 TO 43 KM NW OF KABUE</t>
  </si>
  <si>
    <t>GUERNSEY NO 367, LIKETULA, EXPLORED IN THE 1930S. THE AREA WAS SUBSEQUENTLY EXPLORED BY NCCM AND THEN IN THE EARLY 1970S IT WAS REVIEWED BY UNDP.</t>
  </si>
  <si>
    <t>SEDIMENTARY AND REPLACEMENT IRON FORMATIONS</t>
  </si>
  <si>
    <t>LIKETULA, 43 KM NW OF KABUE ACCORDING TO GUERNSEY, HEMATITE AND MAGNETITE REPLACEMENT BODIES IN QUARTZITE ARE EXPOSED BY TRENCHING IN AN AREA 200 X 60 M AT THAT TIME A PARTIAL ANALYSIS OF A COMPOSITE SAMPLE REPORTED 618% FE, 64% SIO2, AND 03% P2O5 AT THE SAME TIME 12 REPRESENTATIVE SAMPLES AVERAGED 596% FE AND 7% SILICA MNATISHI, 40 KM NW OF KABUE, SMALL SEDIMENTARY IRON DEPOSIT CONTAINING BANDED HEMATITE AND MAGNETITE</t>
  </si>
  <si>
    <t>THESE ARE NOT SIGNIFICANT IRON RESOURCES AT THE PRESENT TIME BECAUSE THEY ARE DISTANT FROM RAIL ACCESS.</t>
  </si>
  <si>
    <t>MILLBERG</t>
  </si>
  <si>
    <t>45 KM NORTH OF Kabwe (10 KM OFF RAILWAY LINE)</t>
  </si>
  <si>
    <t>ASSUMING THAT THE MINERALIZATION IS CONTINUOUS BETWEEN DRILL HOLES AND ALONG STRIKE (NOT CERTAIN FROM THE MINIMAL INFORMATION AVAILABLE TO DATE), A PRELIMINARY RESOURCE ESTIMATE, CALCULATED BY FREEMAN (1989) FOR THE FOUR LENSES, IS ABOUT 315,000 T @ 3.7% Zn AND 1.7% Pb.</t>
  </si>
  <si>
    <t>CARBONATE-HOSTED VEIN AND LENS ZINC-LEAD MINERALIZATION</t>
  </si>
  <si>
    <t>MANTAYA AND CHAMPANDE</t>
  </si>
  <si>
    <t>MAOMBOSHI GROUP</t>
  </si>
  <si>
    <t>75 KM NE OF Lusaka</t>
  </si>
  <si>
    <t>INITIALLY EXAMINED BY LOANGUA CONCESSIONS LTD. IN 1930-32 WHO LOCATED SEVERAL GOLD OCCURRENCES BY PANNING. THE ZGS EXAMINED THE AREA IN 1976-78 WITH GRAB SAMPLING OF SELECTED QUARTZ VEINS, SEMI-REGIONAL MAPPING AT 1:50,000 OVER 150 SQ. KM AND PANNING OF CRUSHED QUARTZ VEINS AND ALLUVIAL SAND BARS. DETAILED WORK AT THE MANTAYA AND CHAMPANDE PROSPECTS CONSISTED OF MAPPING AT 1:1,000, TRENCHING-SAMPLING-PANNING (NO RESULTS REPORTED) AND AT MANTAYA RECONNAISSANCE GROUND MAGNETICS (NO RESULTS); DETAILED SOIL SAMPLING (ANALYZED BY XRF FOR MO, ZN, CO, CU, AS, BI, NI, PB). NO ANOMALOUS ZONES WERE IDENTIFIED AND NO RESULTS WERE REPORTED. A TOTAL OF 1001.8 M OF DIAMOND DRILLING (13 DDH) WAS COMPLETED AT MANTAYA WITH 354 M OF CORE SPLITS OF QUARTZ VEIN AND SULPHIDE MINERALIZATION CRUSHED AND PANNED BUT ASSAYING WAS NOT DONE. PANNED RESULTS WERE NOT RECORDED. ONE THIRD OF THE ORIGINAL DRILL CORE WAS AVAILABLE FOR STUDY BY MINEX IN 1985 AND WAS RELOGGED, STUDIED IN THIN SECTION AND ANALYZED BY SPECTROGRAPHY FOR 25 ELEMENTS AND GEOCHEMICALLY ANALYZED FOR CU, PB, ZN, CO AND NI CONTENTS. GOLD WAS ANALYZED BY AA WITH VALUES RANGING FROM THE DETECTION LIMIT TO 0.16 G AU/T.</t>
  </si>
  <si>
    <t>MINERALIZATION AT MANTAYA OCCURS WITHIN THE MAOMBOSHI GNEISS FORMATION OF DOMINANTLY GRANITIC COMPOSITION, WITH SUBORDINATE AMPHIBOLITES, QUARTZITES AND SCHISTS OCCURRING WITHIN AN AMPHIBOLITE LENS OCCUPYING THE CORE OF A BROAD ANTICLINORIUM SOME 16 KM LONG BY 1-3 KM WIDE ON THE SOUTH SIDE OF THE MAOMBOSHI RIVER AMPHIBOLITE HOST ROCKS COMPRISE HORNBLENDE/BIOTITE QUARTZO-FELDSPATHIC GNEISSES WITH QUARTZITIC AND BIOTITE-MUSCOVITE GRANITIC GNEISS INTERBEDS THE PETROGRAPHY AND THE WELL DEVELOPED LAYERING ACCORDING TO STUDIES BY KRISHNAN ARE INDICATIVE OF A SEDIMENTARY ORIGIN, POSSIBLY TUFFACEOUS, BUT MORE LIKELY FELDSPATHIC AND CALCAREOUS SANDSTONES SULPHIDE MINERALIZATION IS PREDOMINANTLY PYRITE, WITH MINOR PYRRHOTITE AND RARE CHALCOPYRITE OR BORNITE AND COMMONLY LAYERED PARALLEL TO THE BEDDING AND MAKING UP 50% OF THE ROCK THE DISSEMINATED SULPHIDES ARE BELIEVED TO BE SYNGENETIC AND OCCUR WITHIN DISTINCT ZONES UP TO 238 M OF DRILLED INTERVAL (DRILL HOLE ANGLE 7) IN BOTH FELSIC AND MAFIC LITHOLOGIES THE FOLIATION OF THE ROCKS GENERALLY STRIKES NE AND DIPS 40° TO 60° S QUARTZ VEINS PRESENT IN THESE ROCKS NORMALLY HAVE FREE GOLD, IN THE FORM OF GRAINS, FILMS OR WIRES, OR ASSOCIATED WITH LIMONITE IN CAVITIES, OR EMBEDDED IN BISMUTHINITE GOLD IS ALSO CONCENTRATED WITHIN CHLORITIZED VEIN WALLROCK AND INTERNAL STREAKS THE VEINS ARE COMMONLY CONFORMABLE, OR NEAR CONFORMABLE, TO THE FOLIATION METAMORPHISM IS ALMANDINE-AMPHIBOLITE FACIES RETROGRADED TO GREENSCHIST FACIES</t>
  </si>
  <si>
    <t>Mineralization: PYRITE, GOLD, IRON; Formation: HEMATITE IRON FORMATION.</t>
  </si>
  <si>
    <t>MAOMBOSHI RIVER</t>
  </si>
  <si>
    <t>MAOMBOSHI AREA</t>
  </si>
  <si>
    <t>80 KM NE OF Lusaka</t>
  </si>
  <si>
    <t>FOUR ALLUVIAL OCCURRENCES REPORTED BY GUERNSEY IN 1941 (NO 188).</t>
  </si>
  <si>
    <t>ALLUVIAL</t>
  </si>
  <si>
    <t>ALLUVIAL OCCURRENCES IRREGULARLY DISTRIBUTED OVER THE AREA, UNDERLAIN BY THE MAOMBOSHI GNEISS UNIT GENERALLY RELATED TO QUARTZ BOULDERS OR FLOAT THE MAOMBOSHI UNIT IS SEPARATED FROM THE MULUNGUSHI BELT TO THE W BY A MAJOR E-STRIKING FAULT STRUCTURE DARLING (NO 190), NO 81 AND NO 72 ARE THE THREE OTHER ALLUVIAL OCCURRENCES IN THE AREA</t>
  </si>
  <si>
    <t>OF LIMITED EXTENT, BOTH VERTICALLY AND HORIZONTALLY, BELIEVED TO BE SURFACE ENRICHED. FREEMAN BELIEV...</t>
  </si>
  <si>
    <t>IRON CAP</t>
  </si>
  <si>
    <t>MKUSHI AREA</t>
  </si>
  <si>
    <t>SE OF Kabwe NEAR THE MULUNGUSHI DAM</t>
  </si>
  <si>
    <t>GUERNSEY NO 352. EXPLORED BY SEVERAL SHAFTS AND UNDERGROUND WORKINGS, WITH ONE LOCALITY DOWN TO A 17 M DEPTH. DURING 1953-54, ORE AT A GRADE OF 2.2 G AU/T WAS MINED TO PRODUCE 189 OZ OF GOLD.</t>
  </si>
  <si>
    <t>IRON FORMATION OR HYDROTHERMAL QUARTZ VEIN (?)</t>
  </si>
  <si>
    <t>DESCRIBED AS A QUARTZ REEF, OR QUARTZITE AND IRONSTONE, STRIKING E-W AND DIPPING 45° - 70° N AND TRACEABLE OVER 960 M ALONG STRIKE THE WIDTH VARIES FROM 4 M TO 6 M IN THE EAST TO 06 M TO 09 M IN THE WEST ASSAYS VARIED FROM TRACES TO 22 G AU/T CALCULATIONS OF THE AVERAGE GRADE FROM SURFACE SAMPLES GAVE 158 G AU/T IN THE EASTERN PART AND 11 G AU/T FOR THE WESTERN PART (SLIVA BELIEVES THE LATTER MAY BE OVERSTATED) UNDERGROUND WORKINGS GAVE 38 G AU/T</t>
  </si>
  <si>
    <t>Minerals: Iron; Formation: Iron Formation</t>
  </si>
  <si>
    <t>GREENHILLS - NYANA SIDING AREA</t>
  </si>
  <si>
    <t>SURROUNDING NYANA SIDING ABOUT 4 KM TO THE NORTH AND AROUND TO THE WEST ABOUT 5.5 KM</t>
  </si>
  <si>
    <t>16 KM SW OF Kabwe</t>
  </si>
  <si>
    <t>IN THE LATE 1950S TO THE MID 1960S, ANOMALOUS COPPER VALUES FOUND DURING REGIONAL SOIL SAMPLING WERE TESTED BY MINERAL SEARCH OF AFRICA (RIO TINTO) AND CHARTERED EXPLORATION. ZAMEX ALSO INVESTIGATED THIS AREA FROM 1966-68. THE DOLOMITIC ANOMALIES WERE NAMED NYANA WEST AND NYANA AND THE ANOMALIES OVER THE VOLCANICS WERE NAMED GREENHILLS, SPRING VALLEY AND NYSA. PITTING, TRENCHING AND THE DRILLING OF 16 DIAMOND DRILL HOLES (4 BY CHARTERED EX.) WERE CONDUCTED OVER THE ANOMALIES. AT GREENHILLS, 7 HOLES INTERSECTED 0.5-1.02% CU OVER WIDTHS OF 2.0-8.6 M, AVERAGING 0.89% CU OVER 5.5 M ALONG A STRIKE OF 480 M AND A DIP LENGTH OF 82 M. THE BEST INTERSECTION WAS 1.75% CU OVER 3 M. AT THE NYSA ANOMALY, 4 HOLES INTERSECTED 0.5-1.1% CU OVER 0.6-3.3 M. THE AVERAGE WAS 0.87% CU OVER 1.3 M IN 3 PARALLEL STEEPLY DIPPING BANDS FROM 5 TO 15 M APART ALONG ABOUT 1,500 M STRIKE. AT NYANA WEST, ONLY TRACES OF CU WERE INTERSECTED IN 3 DRILL HOLES AND AT NYANA 2.09% CU OVER 3 M WAS INTERSECTED IN 1 OF 2 HOLES DRILLED.</t>
  </si>
  <si>
    <t>COPPER (BORNITE) IN AMYGDALOIDAL ANDESITE</t>
  </si>
  <si>
    <t>THE AREA IS OVERLAIN PREDOMINANTLY BY LOWER ROAN DOLOMITE, PHYLLITES, SCHISTS AND ANDESITIC FLOWS THE COPPER ANOMALIES OCCUR ALONG A 6 KM EAST-WEST-TRENDING DOLOMITIC BELT AND OVER 20 KM OF ANDESITIC VOLCANICS THAT MAY EXTEND SUBSTANTIALLY FURTHER TO THE EAST (PART OF A NE-TRENDING, 160 KM LONG BELT) THE MAIN COPPER MINERALIZATION OCCURS IN SHALLOW-DIPPING ZONES IN THE SCHISTOSE ANDESITE, WHICH STRIKES ENE AND DIPS AT ABOUT 60°NW TO THE EAST OF NYANA SIDING, THE AMYGDALES ARE CONCENTRATED IN 3 ROUGHLY PARALLEL BANDS AT DEPTHS OF 15-23 M, 39-52 M AND 55-67 M BELOW SURFACE (DIFFERENT FLOWS ?) THE NEAR-SURFACE MINERALIZATION CONSISTS PREDOMINANTLY OF BORNITE WITH SUBORDINATE CHALCOPYRITE, CHALCOCITE AND SOME PYRITE WITH POSSIBLE MAGNETITE IN AN AMYGDALOIDAL ANDESITE VEINS OF QUARTZ AND CALCITE WITH ASSOCIATED SULPHIDES ARE MOST COMMON IN THE AREAS OF LARGE AMYGDALES IN THE SILICIFIED DOLOMITE, THE MINERALIZATION IS THOUGHT TO BE MAINLY OXIDE AND DUE TO SUPERGENE ENRICHMENT OTHER OCCURRENCES IN THE GENERAL AREA ARE MUNSINSHI (WEAK CU-NI AT CONTACT BETWEEN BASEMENT AND THE KATANGA) AND CHISAMBA (WEAK DISSEMINATED CU)</t>
  </si>
  <si>
    <t>THE RELATIVELY SHALLOW DIP OF THESE OCCURRENCES AND THE POSSIBILITY THAT THE MINERALIZATION COULD CO...</t>
  </si>
  <si>
    <t>KAMANO</t>
  </si>
  <si>
    <t>GUERNSEY NO.189 WAS EXPLORED BY AT LEAST ONE SHAFT IN THE EARLY 1900S.</t>
  </si>
  <si>
    <t>A LONG QUARTZ VEIN CONTAINING IRON OXIDES AND COPPER MINERALS IS TRACEABLE OVER 1,900 M AT AN AVERAGE WIDTH OF 050 M SURFACE SAMPLES ASSAYED FROM TRACES TO 179 G AU/T, REPORTEDLY AVERAGING A QUESTIONABLE 19 G AU/T QUARTZ AND COPPER MINERALS ARE PRESENT ON THE DUMP</t>
  </si>
  <si>
    <t>TOO LITTLE DATA TO FORM MUCH OF AN OPINION. HOWEVER, THE VEIN IS AURIFEROUS AND THE STRUCTURE SIGNIF...</t>
  </si>
  <si>
    <t>CHISAMBA AND MAOMBOSHI (IRON)</t>
  </si>
  <si>
    <t>EAST OF LUSAKA-KABWE ROAD</t>
  </si>
  <si>
    <t>48 KM NORTH OF Lusaka</t>
  </si>
  <si>
    <t>GUERNSEY MOS 192 &amp; 187 WERE INVESTIGATED IN THE 1930S. MINED BY KABUE DIVISION IN A SMALL WAY IN THE EARLY 1950S FOR METALLURGICAL USE. ASSESSED IN THE EARLY 1970S BY UNDP. ALSO REASSESSED IN 1986-87 BY ZCCM WHEN 10 HOLES (312.5 M) WERE DRILLED AT THE NO. 1 AND NO. 2 MAOMBOSHI OUTCROPS. BOTH WERE OUTLINED TO 20 M DEPTH, THE NO. 1 OUTCROP FOR 128 M OF STRIKE AND THE NO. 2 OUTCROP FOR 169 M OF STRIKE.</t>
  </si>
  <si>
    <t>SEDIMENTARY IRON FORMATION</t>
  </si>
  <si>
    <t>CHISAMBA, 48 KM N OF LUSAKA, SEDIMENTARY IRON FORMATION NEAR BASE OF THE KATANGA SYSTEM STRIKE E, DIP 45° S, 3 KM LONG, 15 M THICK CONSISTS OF MAGNETITE AND HEMATITE GRADING 50% TO 60% FE, PREVIOUSLY MINED AS MAOMBOSHI IRON MAOMBOSHI RIDGE, GUERNSEY MO 192, 17 KM E OF CHISAMBA, SIMILAR TO CHISAMBA, MINED IN 1952-55 WHEN 11,800 T WERE SHIPPED TO KABUE FOR METALLURGICAL PURPOSES AVERAGE GRADE WAS 589% FE AND 78% SIO2</t>
  </si>
  <si>
    <t>Mineralization: GOLD, IRON.</t>
  </si>
  <si>
    <t>KAPUTA</t>
  </si>
  <si>
    <t>50 KM NE OF Lusaka</t>
  </si>
  <si>
    <t>THE KAPUTA PROSPECT IS A GOLD BEARING AREA THAT COVERS SOME 1,200 M BY 200-300M. IT WAS KNOWN FROM THE 1930S (NO 249) WHEN IT WAS EXTENSIVELY TRENCHED GIVING SOME GOLD VALUES ABOVE 15 G/T. BSA CO. WORKED THE AREA IN THE 1960S PRODUCING 54 OZ OF GOLD. IN 1981 A RECONNAISSANCE SURVEY WAS CARRIED OUT BY MINEX CONSISTING OF TWO STAGES. THE FIRST STAGE WAS SOIL SAMPLING AND A GROUND MAGNETIC SURVEY. SAMPLES WERE COLLECTED AT 20 M INTERVALS ALONG LINES SPACED AT 200 M (SOME AT 100 M) PERPENDICULAR TO THE STRIKE, OVER A GRID AREA OF 1,700 M BY 800 M. THESE WERE ANALYZED FOR 24 ELEMENTS BY EMISSION SPECTROGRAPHY AND FOR CU, PB, ZN AND CO BY ATOMIC ABSORPTION. THE MAGNETIC SURVEY WAS CARRIED OVER THE SAME GRID. THE SECOND STAGE CONSISTED OF CLEANING OUT AND SAMPLING OF THE OLD WORKINGS.</t>
  </si>
  <si>
    <t>ELUVIAL-ENRICHED GOLD FROM HYDROTHERMAL STOCKWORKS</t>
  </si>
  <si>
    <t>THE AREA IS FLAT AND UNDERLAIN BY WEATHERED BASEMENT ROCKS WHICH ARE COMPOSED MAINLY OF STRONGLY SHEARED LEUCOCRATIC-MUSCOVITE GNEISSES, QUARTZ-MUSCOVITE SCHISTS AND MASSIVE, RECRYSTALLIZED QUARTZITES OFTEN THIN LAYERS OF QUARTZITE ARE INTERCALATED IN THE SCHISTS AS ARE SMALL CONCORDANT PEGMATITE FOLIATION PLANES CONTAIN AS ACCESSORY MINERALS A SMALL AMOUNT OF MUSCOVITE AND RARE AMOUNTS OF HEMATITE WITHIN THE PROSPECT AREA, THE BEDROCK IS CAPPED BY A LOCALLY DEVELOPED, POORLY SORTED, SANDY TOP LAYER FOLLOWED BY AN ELUVIAL RUBBLE THE SAND LAYER, 0 TO 16 M THICK, IS COMPOSED OF COARSE TO MEDIUM, POORLY SORTED AND ROUNDED QUARTZ GRAINS BELIEVED AN ELUVIUM WASHED AND TRANSPORTED OVER SHORT DISTANCES THE RUBBLE IS COMPOSED OF ANGULAR QUARTZITE PEBBLES AND QUARTZ/QUARTZ-HEMATITE ROCK MIXED WITH SCHIST FRAGMENTS IN A TOTALLY WEATHERED MATRIX THE PEBBLES VARY IN SIZE WITH THE QUARTZ-HEMATITE PEBBLES BEING AURIFEROUS AND BELIEVED TO BE OF A VEIN ORIGIN THE SCHISTS ARE MAINLY QUARTZ AND MUSCOVITE WITH RARE AMOUNTS OF KYANITE AND FELDSPAR QUARTZ GRAINS OFTEN EXHIBIT A MOSAIC STRUCTURE INDICATIVE OF HEAVY STRESSES DURING TECTONIC EVENTS DISSEMINATED IRON OXIDES IN THE SCHISTS OFTEN PRODUCE A MARKED RED COLOUR QUARTZITES ARE OCCASIONALLY SHEARED OR EVEN MYLONITIZED EAST-WEST-STRIKING AND VERTICALLY DIPPING, TINY QUARTZ VEINS, 5 TO 40 CM THICK, OCCUR AS STOCKWORKS OVER 1 TO 2 M WIDTHS AND STRIKE LENGTHS OF 200-400 M THESE VEINLETS CUTTING THE NEAR FLAT-LYING HOST ROCKS ARE THOUGHT TO BE THE SOURCE OF THE GOLD-BEARING QUARTZ FRAGMENTS THE PROSPECT IS BELIEVED TO BE LOCATED ON THE MAOMBOSHI DISLOCATION ZONE FAINT TRACES OF DISPLACEMENT OF THE COUNTRY ROCKS ARE VISIBLE BUT OBSCURED BY THE STRONG WEATHERING THE AURIFEROUS ROCK IS STRONGLY OXIDIZED AND COMPOSED PREDOMINANTLY OF QUARTZ, LIMONITE AND HEMATITE, AND LOCALLY A CONSIDERABLE AMOUNT OF ANKERITE THE GOLD OCCURRING AS FREE GOLD IS VERY FINE GRAINED THE GRADES VARY FROM 004 G/T TO 52 G/T GOLD WITH ACCOMPANYING BISMUTH GRADES UP TO 10,000 PPM</t>
  </si>
  <si>
    <t>Rock types: SCHIST; Mineralization: GOLD, IRON.</t>
  </si>
  <si>
    <t>LITETA</t>
  </si>
  <si>
    <t>73 KM WNW OF Lusaka</t>
  </si>
  <si>
    <t>A NORTHEAST-STRIKING, NARROW QUARTZ-IRON CARBONATE VEIN TRACEABLE OVER 120 M AND TO A DEPTH OF 25 M THE VEIN AVERAGES 012 M WIDTH AND CARRIES ERRATIC GOLD VALUES FROM MINOR AMOUNTS TO SEVERAL GRAMS PER TONNE OTHER NARROWER PARALLEL VEINS ARE PRESENT</t>
  </si>
  <si>
    <t>Mineralization: GOLD.</t>
  </si>
  <si>
    <t>KATIE</t>
  </si>
  <si>
    <t>PETAUKE MISSION</t>
  </si>
  <si>
    <t>40 KM SE OF Petauke MISSION</t>
  </si>
  <si>
    <t>DESCRIBED BY GUERNSEY (MOS 62 AND 56). OLD PROSPECT EXPLORED AT THE TURN OF THE CENTURY. RE-EXAMINED BY ZAMANGLO IN 1961.</t>
  </si>
  <si>
    <t>FIVE BLOCKS OF CLAIMS (KATIE EXTENSION) AND FOUR BLOCKS OF CLAIMS (PETAUKE) COMPRISE NO 62, LOCATED ON A RIDGE BETWEEN THE PETAUKE AND MSAKA STREAMS MINERALIZATION CONSISTS OF: A) THIN (A FEW CM WIDE) IRON STAINED GOLD BEARING QUARTZ LENSES THAT FOLLOW THE FOLIATION OF THE BEDROCK (SANDY MICACEOUS SCHISTS); B) A 12 M TO 18 M WIDE GOLD BEARING DYKE; C) A SERIES OF THIN CROSS-CUTTING GOLD BEARING QUARTZ VEINS OR STRINGERS THE DYKE EXPOSED IN 11 TRENCHES AND A SHAFT APPEARS TO BE THE MOST IMPORTANT GOLD BEARING UNIT OF 12 SAMPLES OF DYKE MATERIAL TAKEN FROM THE DUMP, 3 ASSAYED 85 G AU/T, 1 ASSAYED 153 G AU/T AND ONE 75 G AU/T ZAMEX EXAMINED IN 1961 AND DESCRIBED THE SHOWING AS AN ANTICLINAL STRUCTURE OF INDURATED MICACEOUS QUARTZITE INTERBEDDED WITH QUARTZ-MICA SCHISTS BEST CHANNEL SAMPLE GAVE 17 G AU/T OVER 91 M WITH ONE GRAB SAMPLE AT 75 G AU/T</t>
  </si>
  <si>
    <t>WIDESPREAD GOLD MINERALIZATION WARRANTS A RE-INVESTIGATION.</t>
  </si>
  <si>
    <t>KAWENISHA</t>
  </si>
  <si>
    <t>APPROXIMATELY 7 KM NW (?) OF CHIEF KAWENISHAS VILLAGE</t>
  </si>
  <si>
    <t>APPROXIMATELY 18 KM EAST OF OLD Mkushi</t>
  </si>
  <si>
    <t>BERYL-BEARING PEGMATITE</t>
  </si>
  <si>
    <t>THE PEGMATITE CROPS OUT FOR 195 M BY 15 M, STRIKING 40° IT IS ZONED WITH BARREN QUARTZ, FELDSPAR AND MICA AT THE ENDS, AND THE SAME MINERALS WITH ACCESSORY BERYL IN THE CENTRAL 80-90 M THE BERYL IS ABUNDANT IN PLACES, BUT AS EXPOSED IN PITS IS ALL CLOUDY AND CHARGED WITH INCLUSIONS IT OCCURS AS BLUE-GREEN CRYSTALS AVERAGING &lt;1 CM TO 15 CM AND IS HIGHLY FRACTURED NO GEMS HAVE BEEN FOUND</t>
  </si>
  <si>
    <t>ALTHOUGH IT IS POSSIBLE THAT BETTER QUALITY MATERIAL IS PRESENT AT DEPTH, THE CHANCE OF FINDING SIGN...</t>
  </si>
  <si>
    <t>BUFFALO - QUAGGA CHATEKA</t>
  </si>
  <si>
    <t>WESTERN END OF LUNSEMFWA VALLEY</t>
  </si>
  <si>
    <t>125 KM NE OF Lusaka</t>
  </si>
  <si>
    <t>GUERNSEY DESCRIBED AS NO 165 AND NO 168, WITH THE OCCURRENCES EXAMINED MORE RECENTLY BY MINEX AND BRGM.</t>
  </si>
  <si>
    <t>UNCLASSIFIED THICK SEQUENCE OF SHEAR-FOLDED SCHIST AND QUARTZITE WITH THE CHATEKA OCCURRING AT THE W CONTACT OF A SYNTECTONIC HORNBLENDE-GRANITE BUFFALO-QUAGGA (NO 168, RMC 35 AND 116) IS LOCATED AT LAT 14°38'S, LONG 29°23'E, AND CONSISTS OF OLD TRENCHES EXPOSING QUARTZ VEINLETS (AVERAGE THICKNESS LESS THAN 03 M) CARRYING MALACHITE, TOURMALINE, IRON OXIDES AND BISMUTH MINERALS ASSAYED HIGH GOLD VALUES, BUT THESE WERE NOT CONTROLLED CHATEKA (NO 165, RMC 117) IS LOCATED AT LAT 15°02'S, LONG 29°28'E, AND CONSISTS OF QUARTZ RUBBLE OVER A 60 M SQ AREA THAT ASSAYED UP TO 48 G AU/T, BUT AVERAGED LESS THAN ONE G AU/T</t>
  </si>
  <si>
    <t>THE NARROW NATURE OF THE QUARTZ VEINS COUPLED WITH THE BELIEVED SURFACE ENRICHED GOLD MAKE THE DEPOSIT OF LOW PRIORITY.</t>
  </si>
  <si>
    <t>KAMPUMBA</t>
  </si>
  <si>
    <t>12.8 KM SW OF THE LUNSEMFWA POWER STATION</t>
  </si>
  <si>
    <t>78 KM BY ROAD FROM Kabwe</t>
  </si>
  <si>
    <t>MANGANESE</t>
  </si>
  <si>
    <t>GUERNSEY NO 73 WAS DISCOVERED IN 1903 AND EXPLORED IN THE 1930S BY NORTHERN RHODESIA COMPANY LIMITED. WORK INCLUDED DIAMOND DRILLING, BUT AT THAT TIME IT WAS THOUGHT THAT THE IRON AND MANGANESE COULD NOT BE SEPARATED ECONOMICALLY. IT WAS MINED FROM 1955 TO 1961 BY G.I. MINES LTD. PRODUCING A HAND PICKED CONCENTRATE WHICH WAS SHIPPED TO ZIMBABWE. TOTAL PRODUCTION WAS 109,000 T CONTAINING 50% TO 53% MN. LOWER GRADE MN ORE WAS STOCKPILED AND WAS PROVIDED 35% MN PICKINGS TO KABUE FOR METALLURGICAL USE AS NEEDED.</t>
  </si>
  <si>
    <t>REPLACEMENT DEPOSIT</t>
  </si>
  <si>
    <t>THE DEPOSIT IS REPORTED BY GUERNSEY TO BE A REPLACEMENT OF IMPURE LIMESTONE IN THE BASEMENT IT FORMS THREE PROMINENT HILLS (EAST, MIDDLE AND WEST) ALONG A DISTANCE OF 2,400 M AND HAS A MAXIMUM WIDTH OF 30 M THE MN ORE OCCURS AS RUBBLE AND SURFACE ENRICHED SOLID ROCK THE MN ORE IS MAINLY PSILOMELANE WITH LOCAL ENRICHMENT OF BRAUNITE HAUSMANNITE AND LATE VEINS OF PYROLUSITE ARE FAIRLY COMMON AT DEPTH THE MN GIVES WAY TO MASSIVE HEMATITE WITH A LITTLE MAGNETITE THOUGH A FEW VEINLETS OF MN PERSIST REPRESENTATIVE SAMPLES QUOTED BY GUERNSEY RAN 6773% AND 5753% FE, 005% P2O5 ACCORDING TO GEOLOGICAL SURVEY DATA CARDS, THE SILICA RANGES FROM 01% TO 14%</t>
  </si>
  <si>
    <t>Mineralization: IRON; Formation: BUT IN ECONOMIC TERMS IT IS EXPECTED BY MGM THAT IT WILL NOT COMPETE FAVOURABLY WITH THE SANJE GROUP.</t>
  </si>
  <si>
    <t>MKUSHI COPPER - KATUNGA SECTION</t>
  </si>
  <si>
    <t>MKUSHI DISTRICT</t>
  </si>
  <si>
    <t>80 KM NE OF Kabwe</t>
  </si>
  <si>
    <t>EMERALD (?)</t>
  </si>
  <si>
    <t>FREEMAN (1989) ESTIMATED A POSSIBLE ONE MILLION T AT 1.2% Cu (0.4% Cu CUT-OFF) IN FOUR SEPARATE BODIES.</t>
  </si>
  <si>
    <t>DISSEMINATED SULPHIDES HYDROTHERMAL (?) PORPHYRY COPPER (?)</t>
  </si>
  <si>
    <t>Rock types: SCHIST, GNEISS; Mineralization: CHALCOPYRITE, PYRITE.</t>
  </si>
  <si>
    <t>UMBA RIVER</t>
  </si>
  <si>
    <t>WITHIN WESTERN PART OF FORMER NYIMBA MINING LICENCE 123 8 KM NNW OF NYIMBA TOWNSHIP</t>
  </si>
  <si>
    <t>ABOUT 370 ROAD KM ENE OF Lusaka 85 KM WEST OF Petauke</t>
  </si>
  <si>
    <t>VOLCANOGENIC (?) STRATIFORM MASSIVE SULPHIDE</t>
  </si>
  <si>
    <t>Rock types: GRANITE, QUARTZITE, SCHIST; Mineralization: COPPER, MALACHITE, GOLD; Formation: IT CONSISTS OF PRECAMBRIAN ROCKS OF THE MUVA GROUP.</t>
  </si>
  <si>
    <t>NYIMBA-PETAUKE AREA - CHIPIRINYUWA PROSPECT (ALSO NGAMBUA LUTALA HILLS NOAKE)</t>
  </si>
  <si>
    <t>WITHIN NYIMBA MINING LICENCE 123</t>
  </si>
  <si>
    <t>370 KM ENE OF Lusaka</t>
  </si>
  <si>
    <t>MINERAL SEARCH OF AFRICA LOCATED CU AND Zn GEOCHEMICAL ANOMALIES. FOLLOWED UP BY RESISTIVITY AND GRAVITY SURVEYS</t>
  </si>
  <si>
    <t>LIMITED PITTING/TREECHING AND 10</t>
  </si>
  <si>
    <t>000 M IN ZZ BOREHOLES</t>
  </si>
  <si>
    <t>AT CHIPIRINYUWA FREEMAN (1989) ESTIMATES THAT WITHIN THE MINERALIZATION IDENTIFIED TO DATE (WITH ONLY 6 HOLES AND SURFACE WORK) ASSUMING THE MINERALIZATION IS CONTINUOUS USING STRIKE LENGTHS OF 400-800 M, DIP LENGTHS OF 200 M AND THICKNESSES OF 2.5-3.0 M THERE ARE TWO ZONES CONTAINING ABOUT 1.3 MILLION T @ 4.0% Zn AND 0.8 MILLION T @ 3.79% Zn.</t>
  </si>
  <si>
    <t>Rock: Granite, Quartzite; Minerals: Copper; Formation: Muva Group</t>
  </si>
  <si>
    <t>SHANKALAMA - CHIBONTI</t>
  </si>
  <si>
    <t>LUNSEMFWA VALLEY</t>
  </si>
  <si>
    <t>140 KM NNW OF Petauke</t>
  </si>
  <si>
    <t>ALLUVIAL GOLD</t>
  </si>
  <si>
    <t>ALLUVIAL GOLD IN THE GRAVELS OF THE SHANKALAMA CHIBONTI AND CHISANGA RIVERS DRAINING BASIC TO ULTRABASIC INTRUSIVES REGIONAL GEOLOGY TO THE SOUTH SHOWS THIS AREA TO BE ON THE EASTERN EDGE OF THE MULUNGUSHI BELT UNDERLAIN BY QUARTZ SCHIST AND QUARTZITE WITH MINOR AMPHIBOLITE CONSIDERED CLASTIC DEPOSITIONS OF THE MIDDLE MUVA UPPER PROTEROZOIC DEFORMATION ILLUSTRATED BY SHEAR FOLDING AND INTRUSION OF 15 X 08 KM MAIN BODY OF GABBRO PYROXENITE SERPENTINITE AND TALC SCHIST WHOSE SHEARED MARGINS OCCUR AS CHLORITE SCHIST AND IRON FM CUT BY NUMEROUS QUARTZ VEINLETS</t>
  </si>
  <si>
    <t>Minerals: Gold</t>
  </si>
  <si>
    <t>MPONGO</t>
  </si>
  <si>
    <t>LUNSEMFWA VALLEY - 3 KM FROM EAST BANK OF THE LUNSEMFWA RIVER</t>
  </si>
  <si>
    <t>240 KM EAST OF KABUE 31 KM NE OF Mkushi</t>
  </si>
  <si>
    <t>FREEMAN (1989) USING A CUT-OFF OF 1% Cu OR 3.75% Zn OVER A TRUE WIDTH OF AT LEAST 1.5 M AND A TONNAGE FACTOR OF 3.1 T/CU M ESTIMATED TWO SULPHIDE ZONES (FROM 30-150 M) TO CONTAIN RESOURCES OF: COPPER-RICH ZONE - 733,000 T @ 1.47% Cu, 1.55% Zn, 0.62% Pb &amp; 39.4 G/T Ag ZINC-RICH ZONE - 158,000 T @ 0.15% Cu, 6.4% Zn, 0.98% Pb &amp; 19.4 G/T Ag PRIOR ESTIMATES BY ZAMANGLO AND FREEMAN ARE VERY SIMILAR TO FREEMANS NEW NUMBERS.</t>
  </si>
  <si>
    <t>STRATIFORM MASSIVE SULPHIDE</t>
  </si>
  <si>
    <t>Rock types: QUARTZITE, SCHIST, CONGLOMERATE; Mineralization: COPPER, CHALCOPYRITE, PYRITE; Formation: PART OF LUNSEMFWA GROUP.</t>
  </si>
  <si>
    <t>NYIMBA (KAPEEPU)</t>
  </si>
  <si>
    <t>NEAR VILLAGES OF NYIMBA AND KAPEEPU</t>
  </si>
  <si>
    <t>60 KM WEST OF Petauke</t>
  </si>
  <si>
    <t>TOURMALINE</t>
  </si>
  <si>
    <t>MINDECO SMALL MINES (THE FORERUNNER OF MINEX) ATTEMPTED TO MINE THE KAPEEPU TOURMALINE LOCALITY BUT WERE UNABLE TO MAKE A PROFIT. IT HAS SINCE REVERTED TO SMALL-SCALE LOCAL MINING. IN 1984-85 THE GEOLOGICAL SURVEY VISITED MANY OF THE PEGMATITES USING LOCAL GUIDES AND PUBLISHED A BRIEF REPORT DESCRIBING THEM (PATNEY AND TETHER 1989-7).</t>
  </si>
  <si>
    <t>PEGMATITES</t>
  </si>
  <si>
    <t>THIS AREA IS MENTIONED BY MONEY (1989) AND BY PATNEY AND TETHER (1989-7) THE PEGMATITE OCCUR IN A NW TRENDING BELT SOME 20 KM W OF THE KNOWN EXPOSURES OF THE SINDA BATHOLITH TO WHICH THEY ARE BELIEVED TO BE RELATED ESSENTIALLY THEY ARE HIGH-TEMPERATURE PEGMATITE HENCE THE PRESENCE OF TOURMALINE BUT DID NOT HAVE A SIGNIFICANT PHASE IN WHICH GEM BERYLS WERE PRODUCED THE AREA HAS REPORTEDLY PRODUCED GOOD QUALITY PINK AND GREEN TOURMALINE BUT THE ONLY SAMPLES OFFERED TO MGM WERE DARK GREEN SUB-OPAQUE SEMI-GEMS THAT DO NOT COMPARE WITH MADAGASCAR BI-COLOURS</t>
  </si>
  <si>
    <t>THE NYIMBA PEGMATITES ARE OF A DIFFERENT FAMILY TO THOSE AT LUNDAZI AND DO NOT SEEM TO HAVE THE ECONOMIC POTENTIAL OF THE LATTER LOCALITY.</t>
  </si>
  <si>
    <t>NCHONCHO</t>
  </si>
  <si>
    <t>0.8 KM SOUTH OF THE GREAT EAST ROAD 43 KM EAST OF RUFUNSA</t>
  </si>
  <si>
    <t>211 KM BY ROAD EAST OF Lusaka</t>
  </si>
  <si>
    <t>BISMUTH</t>
  </si>
  <si>
    <t>FORMERLY MINED BY RHODESIA KATANGA COMPANY FOR BISMUTH AND GOLD BETWEEN 1912 AND 1922. EXTENSIVE TRENCHES SHAFTS AND UNDERGROUND DEVELOPMENT EXISTED. THE MINE YIELDED APPROX. 3.05 KG BISMUTH BETWEEN 1912 AND 1914. THE PROPERTY WAS OPTIONED BY MINERAL SEARCH OF AFRICA IN 1954 AND ALTHOUGH WORK WAS RECOMMENDED NOTHING WAS DONE. IT WAS RE-EXAMINED BY THE GEOLOGICAL SURVEY IN 1964 AND REPORTED THAT THE MINERALIZATION IS EXTREMELY ERRATIC AND TOO LOW GRADE TO BE ECONOMIC.</t>
  </si>
  <si>
    <t>QUARTZ VEIN SYSTEM</t>
  </si>
  <si>
    <t>THE QUARTZ VEIN SYSTEM IS ASSOCIATED WITH A NARROW BUT EXTENSIVE SHEAR ZONE TRENDING 70° DIP STEEP W CUTTING BASEMENT GNEISSES THE VEINS CONTAIN QUARTZ AND TOURMALINE THEY SPLIT AND PINCH AND SWELL ALONG STRIKE AND ARE AS MUCH AS 60 M LONG INDIVIDUALLY AND 21 M WIDE THE TOURMALINE MAKES UP 5% TO 10% OF THE VEIN MATERIAL AND OCCURS WITH SPECULAR HEMATITE AND SMALL POCKETS OF EARTHY PALE YELLOWISH TO GREENISH-GREY BISMUTITE SAMPLING RECORDS RANGE FROM NIL TO A MAXIMUM OF 174% BI IN TRENCH 30-A NO GOLD ASSAYS ARE ON RECORD</t>
  </si>
  <si>
    <t>LUANGUA BRIDGE GROUP</t>
  </si>
  <si>
    <t>NEAR THE LUANGUA RIVER BRIDGE AND A NUMBER OF OTHER LOCALITIES</t>
  </si>
  <si>
    <t>50 TO 100 KM EAST OF RUFUNSA</t>
  </si>
  <si>
    <t>THE PEGMATITES WERE REPORTED BY FREEMAN TO CONTAIN SCATTERED CRYSTALS OF GREEN BERYL MEASURING UP TO 15 CM IN DIAMETER.</t>
  </si>
  <si>
    <t>HUMBI</t>
  </si>
  <si>
    <t>NEAR HUMBI VILLAGE</t>
  </si>
  <si>
    <t>32 KM SOUTH OF Petauke</t>
  </si>
  <si>
    <t>COPPER OCCURRENCE</t>
  </si>
  <si>
    <t>Rock types: GRANITE, GNEISS; Mineralization: CHALCOPYRITE, PYRITE.</t>
  </si>
  <si>
    <t>CYMRIC</t>
  </si>
  <si>
    <t>CHADIZA DISTRICT EASTERN PROVINCE</t>
  </si>
  <si>
    <t>35 KM SE OF Chipata</t>
  </si>
  <si>
    <t>NORTH CHARTERLAND CO. EXPLORED THIS PROSPECT IN THE 1930S WITH ABOUT 63 OZ. (1,960 GRAMS) OF GOLD PRODUCED. PITTING AND TRENCHING HAS BEEN DONE SOUTH OF THE PROSPECT IN AN UNSUCCESSFUL ATTEMPT TO FIND THE EXTENSION OF CAMPBELLS BLUE VEIN GOLD MINE WHICH IS LOCATED IN MOZAMBIQUE IMMEDIATELY SOUTH OF THE BORDER. MINEX CARRIED OUT A RECONNAISSANCE SURVEY IN 1976 CONSISTING OF THREE DAYS OF GEOLOGICAL MAPPING SOIL AND ROCK SAMPLING OF THE OLD PITS AND TRENCHES. GOOD GOLD COLORS WERE PANNED BY MINEX IN THE NYERERE AND MLAVI RIVERS AND IT IS BELIEVED THAT SOME PLACER GOLD WAS RECOVERED FROM THESE RIVERS.</t>
  </si>
  <si>
    <t>ALTERATION ZONE METAMORPHIC (?) HYDROTHERMAL (?)</t>
  </si>
  <si>
    <t>PROSPECT LOCATED NEAR THE SOUTH BANK OF THE NYERERE RIVER ACCORDING TO NORTH CHARTERLAND AT THE CONTACT OF A METAVOLCANIC INLIER WITHIN A MONOTONOUS LEUCOCRATIC GNEISS UNIT THAT CONTAINS SOME BIOTITE-QUARTZ SCHIST HORIZONS THE INLIER IS INTRUDED BY SERPENTINITES AND DIABASE PORPHYRY AND MAY BE ASSOCIATED WITH VOLCANIC ACTIVITY THE DIABASE PORPHYRY IS COMPOSED PREDOMINANTLY OF MEDIUM TO COARSE GRAINED PLAGIOCLASE AND CLINOPYROXENE WITH DEVITRIFIED GLASS IN THE INTERSTICES IMPLICATING A HYPABYSSAL ORIGIN FOLIATION STRIKES GENERALLY WNW TO NNE AND APPEARS TO HAVE BEEN AFFECTED BY SUBSEQUENT GENTLE FOLDING A FEW TRAVERSES BY MINEX SOUTH OF THE PROSPECT SHOWED AREAS MAPPED BY NORTH CHARTERLAND AS QUARTZITES TO BE A WELL FOLIATED (EPIDOTE +/- CHLORITE)-ACTINOLITE-QUARTZ SCHIST AN INTERMEDIATE META-VOLCANIC OR META-CALC-ARENITE AND THE QUARTZITES TO BE LESS EXTENSIVE THAN AS MAPPED LOCALLY TUFFS AND BASIC LAVAS ARE INTERBEDDED RATHER THAN AS SEPARATE UNITS AS MAPPED THE TUFFS ARE A CLASTIC GREENISH-GREY ROCK COMPOSED OF ASH TO LAPILLI-SIZED SUBANGULAR FELSIC FRAGMENTS AND ROUNDED TO SUBANGULAR EPIDOTE-ACTINOLITE-QUARTZITE PEBBLES THAT ACCORDING TO MINEX HAVE MORE THE APPEARANCE OF A CONGLOMERATE THAN AN AGGLOMERATE THE TRENCHES EXPOSE QUARTZ VEIN RUBBLE REDDISH COLOURED SCHIST DARK WEATHERED MICA SCHIST AND MICACEOUS QUARTZITES THE ROCK APPARENTLY MINED IS A FINE-GRAINED GREENISH COLOURED QUARTZ-CHLORITE-EPIDOTE SCHIST CONTAINING NARROW QUARTZ STRINGERS AND LOOKING ALTERED TO A WHITE QUARTZ-KAOLINITE ROCK A WELL DEVELOPED ALTERNATION OF HARD AND SOFT BEDS UP TO 1 M THICK IS PRESENT TWO SETS OF SCHISTOSITY ARE PRESENT WITHOUT PARALLEL TO THE BEDDING NO VISIBLE GOLD WAS OBSERVED EITHER IN THE ROCKS</t>
  </si>
  <si>
    <t>ITAPIRA</t>
  </si>
  <si>
    <t>EAST OF THE KAFUE NATIONAL PARK SOUTH OF THE MUMBWA ROAD</t>
  </si>
  <si>
    <t>80 KM SW OF MUMBWA</t>
  </si>
  <si>
    <t>DURING REGIONAL RECCE BY DE BEERS IN 1967 THREE SMALL DIAMONDS (TOTAL 0.004 CT) WERE RECOVERED FROM APPROX. 1.5 M3 OF GRAVEL AND SILT FROM AN UNNAMED TRIBUTARY OF THE ITAPIRA RIVER. IN 1970 9 ADDITIONAL BULK DRAINAGE SAMPLES WERE TESTED BUT NO MORE DIAMONDS FOUND. TRACE AMOUNTS OF KIMBERLITIC MINERALS WERE ALSO FOLLOWED-UP BY LOAM SAMPLING AND AUGER DRILLING.</t>
  </si>
  <si>
    <t>THE BEDROCK GEOLOGY IN THE AREA IS BELIEVED TO BE LIMITED TO GRANITE NO KIMBERLITES WERE FOUND</t>
  </si>
  <si>
    <t>SONKWE - ITAPIRA GROUP</t>
  </si>
  <si>
    <t>NORTH OF THE KAFUE</t>
  </si>
  <si>
    <t>45 TO 85 KM SW OF MUMBWA</t>
  </si>
  <si>
    <t>REVIEWED BY UNDP IN THE EARLY 1970S. EARLIER WORK NOT RESEARCHED.</t>
  </si>
  <si>
    <t>MAINLY SEDIMENTARY IRON FORMATION</t>
  </si>
  <si>
    <t>SONKWE: 22 KM WNW OF NAMAZOMBO SEDIMENTARY IRON FORMATION ASSOCIATED WITH KUNDELUNGU PYROCLASTICS AND SPILITES HEMATITE-JASPER-SULPHIDE MINERALIZATION GRADING 40% TO 50% FE SONKWE NORTH: ONE KM W OF SONKWE SIMILAR TO SONKWE 50% TO 60% FE KNAKO: 19 KM WNW OF NAMWALA SEDIMENTARY IRON FORMATION ASSOCIATED WITH KUNDELUNGU PYROCLASTICS AND PEBBLY GRITS &lt;1 MILLION T @ 40% TO 50% FE ITAPIRA: 20 KM WNW OF NAMSENGA SMALL ELONGATED NE OF SEDIMENTARY OR REPLACEMENT IRON FORMATION ASSOCIATED WITH SCHIST AND GRANITE-GNEISS CONSISTS OF HEMATITE AND CHERT ITAPIRA NORTH: 18 KM W OF ITAPIRA SMALL SKARN DEPOSIT ASSOCIATED WITH SYENITE CONSISTS OF HEMATITE AND CHERT</t>
  </si>
  <si>
    <t>THE OCCURRENCES ARE TOO REMOTE TO BE OF ECONOMIC INTEREST.</t>
  </si>
  <si>
    <t>MANAKUMBO (SMASHIKAULA) GROUP</t>
  </si>
  <si>
    <t>VICINITY OF MANAKUMBO VILLAGE</t>
  </si>
  <si>
    <t>40 KM SOUTH OF MUMBWA</t>
  </si>
  <si>
    <t>FIRST INVESTIGATED IN THE 1940S AND RE-APPRAISED BY GEOZAVOD IN THE MID 1960S AND BY UNDP IN THE EARLY 1970S.</t>
  </si>
  <si>
    <t>SKARN AND SEDIMENTARY IRON DEPOSITS</t>
  </si>
  <si>
    <t>SMASHIKAULA NORTH: 105 KM N OF MANAKUMBO MAGNETITE IN SEDIMENTARY BANDED IRONSTONE VERY SIMILAR TO NKOMBWA (SEE) SMASHIKAULA SOUTH: 9 KM N OF MANAKUMBO A HILL ELONGATED NE RISING 35 M ABOVE THE SURROUNDING FLATS MASSIVE MAGNETITE WITH SOME HYDROXIDES AND RARE PY PO AND CP THE DEPOSIT IS DESCRIBED AS A SYNFORM IN WHICH LIMESTONES HAVE BEEN METASOMATICALLY REPLACED THE DEPOSIT MEASURES 300 X 20 M AND WAS INVESTIGATED BY DRILLING BY GEOZAVOD IN 1966 NEWSE: 12 KM WNW OF MANAKUMBO SMALL HEMATITE-SULPHIDES SKARN DEPOSIT 30% TO 40% FE KMANAKUMBO: 6 KM WNW OF MANAKUMBO TABULAR MAGNETITE-HEMATITE SKARN OR REWORKED SEDIMENTARY DEPOSIT 40% TO 50% FE MANAGAZI: 5 KM N OF MANAKUMBO SMALL HEMATITE-MAGNETITE SKARN DEPOSIT 40% TO 50% FE MUSEFU: 20 KM WNW OF MANAKUMBO SEDIMENTARY IRON FORMATION FORMING PART OF THE SONKWE-NKOMBWA RANGE MASSIVE HEMATITE AND JASPER KILOMBWA-MASUNA: 24 KM WNW OF MANAKUMBO SEDIMENTARY IRON FORMATION FORMING PART OF SONKWE-NKOMBWA RANGE MASSIVE HEMATITE AND TACONITE</t>
  </si>
  <si>
    <t>THESE DEPOSITS MAY BE CONSIDERED FOR MINING TO FEED A CENTRAL SMELTER BUT ARE NOT HIGH PRIORITY IN MGMs OPINION.</t>
  </si>
  <si>
    <t>MAMBALA GROUP</t>
  </si>
  <si>
    <t>VICINITY OF MAMBALA VILLAGE</t>
  </si>
  <si>
    <t>MAMBALA NORTH: 105 KM N OF MAMBALA MAGNETITE IN SEDIMENTARY BANDED IRONSTONE VERY SIMILAR TO NKOMBWA (SEE) MAMBALA SOUTH: 9 KM N OF MAMBALA A HILL ELONGATED NE RISING 35 M ABOVE THE SURROUNDING FLATS MASSIVE MAGNETITE WITH SOME HYDROXIDES AND RARE PY PO AND CP THE DEPOSIT IS DESCRIBED AS A SYNFORM IN WHICH LIMESTONES HAVE BEEN METASOMATICALLY REPLACED THE DEPOSIT MEASURES 300 X 20 M AND WAS INVESTIGATED BY DRILLING BY GEOZAVOD IN 1966</t>
  </si>
  <si>
    <t>KELA</t>
  </si>
  <si>
    <t>EAST OF THE KAFUE RIVER WEST OF THE ITEZHI-ITEZHI ROAD</t>
  </si>
  <si>
    <t>KELA IS APPROXIMATELY 48 KM SOUTH OF THE MUMBWA-KAFUE ROAD</t>
  </si>
  <si>
    <t>DRAINAGE RECCE IN 1967 INDICATED THE PRESENCE OF KIMBERLITE INDICATOR MINERALS. FOLLOW-UP IN 1969 DEFINED 3 SOIL ANOMALIES AND PITTING AND AUGER DRILLING EXPOSED THREE PIPES KB1 KB2 AND KB3 ON A NW TREND SUGGESTING THAT THEY MAY BE PART OF A DYKE. IN 1970 FURTHER SAMPLING WAS DONE AND A MAG SURVEY WHICH LED TO THE DRILLING OF OTHER MAG ANOMALIES BUT NO OTHER KIMBERLITES WERE FOUND. BULK SAMPLING OF THE THREE PIPES (140 CU M) YIELDED NO DIAMONDS.</t>
  </si>
  <si>
    <t>BARREN KIMBERLITE</t>
  </si>
  <si>
    <t>GRANITE FORMS THE COUNTRY ROCK IN THE ENTIRE AREA THE THREE PIPES HAVE DIMENSIONS ELONGATED NW AS FOLLOWS: KB1 77 X 30 M KB2 38 X 30 M KB3 15 X 8 M THE KIMBERLITE IS SOFT GREEN WEATHERED WITH NO EVIDENCE OF SEDIMENTARY MATERIAL NO DIAMONDS WERE RECOVERED</t>
  </si>
  <si>
    <t>THE OCCURRENCE APPEARS TO HAVE BEEN ADEQUATELY EXPLORED BY DE BEERS.</t>
  </si>
  <si>
    <t>KALOLA</t>
  </si>
  <si>
    <t>LUSAKA</t>
  </si>
  <si>
    <t>40 KM NW OF Lusaka</t>
  </si>
  <si>
    <t>EARLY HISTORY NOT RESEARCHED. REVIEWED BY UNDP IN THE EARLY 1970S.</t>
  </si>
  <si>
    <t>SMALL SEDIMENTARY IRON FORMATION IN LOWER KATANGA CHUNGU FORMATION IT CONSISTS OF MAGNETITE AND HEMATITE IN QUARTZ SCHIST</t>
  </si>
  <si>
    <t>Mineralization: IRON.</t>
  </si>
  <si>
    <t>29.758333333333333</t>
  </si>
  <si>
    <t>29.583333333333332</t>
  </si>
  <si>
    <t>20.166666666666668</t>
  </si>
  <si>
    <t>28.758055555555554</t>
  </si>
  <si>
    <t>30.166666666666668</t>
  </si>
  <si>
    <t>31.675555555555558</t>
  </si>
  <si>
    <t>31.233333333333334</t>
  </si>
  <si>
    <t>32.175555555555555</t>
  </si>
  <si>
    <t>10.168055555555554</t>
  </si>
  <si>
    <t>32.833333333333336</t>
  </si>
  <si>
    <t>32.03333333333333</t>
  </si>
  <si>
    <t>11.968055555555555</t>
  </si>
  <si>
    <t>24.916666666666668</t>
  </si>
  <si>
    <t>25.256944444444443</t>
  </si>
  <si>
    <t>26.666666666666668</t>
  </si>
  <si>
    <t>28.866666666666667</t>
  </si>
  <si>
    <t>28.341388888888886</t>
  </si>
  <si>
    <t>31.341944444444444</t>
  </si>
  <si>
    <t>31.416666666666668</t>
  </si>
  <si>
    <t>31.17527777777778</t>
  </si>
  <si>
    <t>23.923333333333336</t>
  </si>
  <si>
    <t>24.983333333333334</t>
  </si>
  <si>
    <t>24.006944444444443</t>
  </si>
  <si>
    <t>12.251388888888888</t>
  </si>
  <si>
    <t>24.666666666666668</t>
  </si>
  <si>
    <t>24.083333333333332</t>
  </si>
  <si>
    <t>25.833333333333332</t>
  </si>
  <si>
    <t>25.883333333333333</t>
  </si>
  <si>
    <t>25.966666666666665</t>
  </si>
  <si>
    <t>25.533333333333335</t>
  </si>
  <si>
    <t>12.401388888888889</t>
  </si>
  <si>
    <t>25.516666666666666</t>
  </si>
  <si>
    <t>25.283333333333335</t>
  </si>
  <si>
    <t>25.233333333333334</t>
  </si>
  <si>
    <t>28.583333333333332</t>
  </si>
  <si>
    <t>12.901388888888889</t>
  </si>
  <si>
    <t>28.716666666666665</t>
  </si>
  <si>
    <t>28.666666666666668</t>
  </si>
  <si>
    <t>28.516666666666666</t>
  </si>
  <si>
    <t>28.033333333333335</t>
  </si>
  <si>
    <t>28.10777777777778</t>
  </si>
  <si>
    <t>28.116666666666667</t>
  </si>
  <si>
    <t>28.083333333333332</t>
  </si>
  <si>
    <t>CHIFUBU</t>
  </si>
  <si>
    <t>28.066666666666666</t>
  </si>
  <si>
    <t>12.668055555555554</t>
  </si>
  <si>
    <t>27.616666666666667</t>
  </si>
  <si>
    <t>28.191111111111113</t>
  </si>
  <si>
    <t>28.233333333333334</t>
  </si>
  <si>
    <t>NKANA WEST LIMB</t>
  </si>
  <si>
    <t>28.20777777777778</t>
  </si>
  <si>
    <t>27.983333333333334</t>
  </si>
  <si>
    <t>27.790833333333335</t>
  </si>
  <si>
    <t>30.883333333333333</t>
  </si>
  <si>
    <t>30.083333333333332</t>
  </si>
  <si>
    <t>32.666666666666664</t>
  </si>
  <si>
    <t>32.259166666666665</t>
  </si>
  <si>
    <t>32.083333333333336</t>
  </si>
  <si>
    <t>32.166666666666664</t>
  </si>
  <si>
    <t>32.483333333333334</t>
  </si>
  <si>
    <t>33.166666666666664</t>
  </si>
  <si>
    <t>33.18333333333333</t>
  </si>
  <si>
    <t>13.00361111111111</t>
  </si>
  <si>
    <t>22.75638888888889</t>
  </si>
  <si>
    <t>23.756944444444443</t>
  </si>
  <si>
    <t>24.883333333333333</t>
  </si>
  <si>
    <t>24.866666666666667</t>
  </si>
  <si>
    <t>25.033333333333335</t>
  </si>
  <si>
    <t>24.833333333333332</t>
  </si>
  <si>
    <t>24.783333333333335</t>
  </si>
  <si>
    <t>24.756944444444443</t>
  </si>
  <si>
    <t>23.506944444444443</t>
  </si>
  <si>
    <t>24.366666666666667</t>
  </si>
  <si>
    <t>25.75722222222222</t>
  </si>
  <si>
    <t>25.316666666666666</t>
  </si>
  <si>
    <t>25.016666666666666</t>
  </si>
  <si>
    <t>25.17361111111111</t>
  </si>
  <si>
    <t>25.183333333333334</t>
  </si>
  <si>
    <t>13.934722222222222</t>
  </si>
  <si>
    <t>26.116666666666667</t>
  </si>
  <si>
    <t>27.974444444444444</t>
  </si>
  <si>
    <t>27.50777777777778</t>
  </si>
  <si>
    <t>12.98472222222222</t>
  </si>
  <si>
    <t>28.09111111111111</t>
  </si>
  <si>
    <t>28.133333333333333</t>
  </si>
  <si>
    <t>28.35777777777778</t>
  </si>
  <si>
    <t>28.407777777777778</t>
  </si>
  <si>
    <t>28.291111111111114</t>
  </si>
  <si>
    <t>MKUSHI COPPER - HUNDA SECTION</t>
  </si>
  <si>
    <t>29.133333333333333</t>
  </si>
  <si>
    <t>MKUSHI COPPER - COLOQUO BOTTIA SECTION</t>
  </si>
  <si>
    <t>MKUSHI COPPER - NTUGA SECTION</t>
  </si>
  <si>
    <t>29.116666666666667</t>
  </si>
  <si>
    <t>MKUSHI COPPER - MUNSHIMENBA</t>
  </si>
  <si>
    <t>20.133333333333333</t>
  </si>
  <si>
    <t>29.166666666666668</t>
  </si>
  <si>
    <t>30.666666666666668</t>
  </si>
  <si>
    <t>30.066666666666666</t>
  </si>
  <si>
    <t>31.616666666666667</t>
  </si>
  <si>
    <t>31.266666666666666</t>
  </si>
  <si>
    <t>31.383333333333333</t>
  </si>
  <si>
    <t>32.65888888888889</t>
  </si>
  <si>
    <t>32.516666666666666</t>
  </si>
  <si>
    <t>24.816666666666666</t>
  </si>
  <si>
    <t>25.116666666666667</t>
  </si>
  <si>
    <t>25.006944444444443</t>
  </si>
  <si>
    <t>25.133333333333333</t>
  </si>
  <si>
    <t>25.340277777777775</t>
  </si>
  <si>
    <t>26.716666666666665</t>
  </si>
  <si>
    <t>26.866666666666667</t>
  </si>
  <si>
    <t>26.50722222222222</t>
  </si>
  <si>
    <t>26.00722222222222</t>
  </si>
  <si>
    <t>26.916666666666668</t>
  </si>
  <si>
    <t>14.884722222222221</t>
  </si>
  <si>
    <t>26.966666666666665</t>
  </si>
  <si>
    <t>26.833333333333332</t>
  </si>
  <si>
    <t>26.840833333333332</t>
  </si>
  <si>
    <t>26.366666666666667</t>
  </si>
  <si>
    <t>26.233333333333334</t>
  </si>
  <si>
    <t>27.116666666666667</t>
  </si>
  <si>
    <t>27.090833333333332</t>
  </si>
  <si>
    <t>27.174166666666668</t>
  </si>
  <si>
    <t>14.201388888888888</t>
  </si>
  <si>
    <t>28.433333333333334</t>
  </si>
  <si>
    <t>14.466666666666667</t>
  </si>
  <si>
    <t>14.468055555555555</t>
  </si>
  <si>
    <t>28.441111111111113</t>
  </si>
  <si>
    <t>28.483333333333334</t>
  </si>
  <si>
    <t>28.316666666666666</t>
  </si>
  <si>
    <t>28.383333333333333</t>
  </si>
  <si>
    <t>28.00777777777778</t>
  </si>
  <si>
    <t>28.683333333333334</t>
  </si>
  <si>
    <t>28.52472222222222</t>
  </si>
  <si>
    <t>28.916666666666668</t>
  </si>
  <si>
    <t>28.333333333333332</t>
  </si>
  <si>
    <t>28.174444444444447</t>
  </si>
  <si>
    <t>29.391388888888887</t>
  </si>
  <si>
    <t>29.083333333333332</t>
  </si>
  <si>
    <t>30.633333333333333</t>
  </si>
  <si>
    <t>30.75861111111111</t>
  </si>
  <si>
    <t>30.033333333333335</t>
  </si>
  <si>
    <t>30.008333333333333</t>
  </si>
  <si>
    <t>31.333333333333332</t>
  </si>
  <si>
    <t>32.96666666666667</t>
  </si>
  <si>
    <t>26.924166666666668</t>
  </si>
  <si>
    <t>27.916666666666668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</si>
</sst>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quotePrefix="1"/>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8"/>
  <sheetViews>
    <sheetView topLeftCell="B1" workbookViewId="0">
      <selection sqref="A1:M1"/>
    </sheetView>
  </sheetViews>
  <sheetFormatPr defaultRowHeight="15" x14ac:dyDescent="0.25"/>
  <cols>
    <col min="1" max="1" width="32.7109375" customWidth="1"/>
    <col min="2" max="2" width="21.42578125" bestFit="1" customWidth="1"/>
    <col min="3" max="3" width="21.85546875" bestFit="1" customWidth="1"/>
    <col min="4" max="4" width="93.28515625" bestFit="1" customWidth="1"/>
    <col min="5" max="5" width="75.28515625" customWidth="1"/>
    <col min="6" max="6" width="58.140625" bestFit="1" customWidth="1"/>
    <col min="7" max="7" width="20.8554687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v>-8.2524999999999995</v>
      </c>
      <c r="C2" s="2" t="s">
        <v>1131</v>
      </c>
      <c r="D2" t="s">
        <v>13</v>
      </c>
      <c r="E2" t="s">
        <v>14</v>
      </c>
      <c r="F2" t="s">
        <v>15</v>
      </c>
      <c r="I2" t="s">
        <v>16</v>
      </c>
      <c r="J2" t="s">
        <v>17</v>
      </c>
      <c r="K2" t="s">
        <v>18</v>
      </c>
      <c r="L2" t="s">
        <v>19</v>
      </c>
    </row>
    <row r="3" spans="1:12" x14ac:dyDescent="0.25">
      <c r="A3" t="s">
        <v>20</v>
      </c>
      <c r="B3">
        <v>-8.5</v>
      </c>
      <c r="C3" s="2" t="s">
        <v>1132</v>
      </c>
      <c r="D3" t="s">
        <v>21</v>
      </c>
      <c r="E3" t="s">
        <v>22</v>
      </c>
      <c r="F3" t="s">
        <v>15</v>
      </c>
      <c r="I3" t="s">
        <v>16</v>
      </c>
      <c r="J3" t="s">
        <v>23</v>
      </c>
      <c r="K3" t="s">
        <v>24</v>
      </c>
      <c r="L3" t="s">
        <v>25</v>
      </c>
    </row>
    <row r="4" spans="1:12" x14ac:dyDescent="0.25">
      <c r="A4" t="s">
        <v>26</v>
      </c>
      <c r="B4">
        <v>-8.5</v>
      </c>
      <c r="C4" s="2" t="s">
        <v>1133</v>
      </c>
      <c r="D4" t="s">
        <v>27</v>
      </c>
      <c r="E4" t="s">
        <v>28</v>
      </c>
      <c r="F4" t="s">
        <v>29</v>
      </c>
      <c r="I4" t="s">
        <v>16</v>
      </c>
      <c r="J4" t="s">
        <v>23</v>
      </c>
      <c r="K4" t="s">
        <v>30</v>
      </c>
      <c r="L4" t="s">
        <v>31</v>
      </c>
    </row>
    <row r="5" spans="1:12" x14ac:dyDescent="0.25">
      <c r="A5" t="s">
        <v>32</v>
      </c>
      <c r="B5">
        <v>-9.0024999999999995</v>
      </c>
      <c r="C5" s="2" t="s">
        <v>1134</v>
      </c>
      <c r="D5" t="s">
        <v>33</v>
      </c>
      <c r="E5" t="s">
        <v>34</v>
      </c>
      <c r="F5" t="s">
        <v>15</v>
      </c>
      <c r="I5" t="s">
        <v>16</v>
      </c>
      <c r="J5" t="s">
        <v>23</v>
      </c>
      <c r="K5" t="s">
        <v>18</v>
      </c>
      <c r="L5" t="s">
        <v>35</v>
      </c>
    </row>
    <row r="6" spans="1:12" x14ac:dyDescent="0.25">
      <c r="A6" t="s">
        <v>36</v>
      </c>
      <c r="B6">
        <v>-9.8333333333333304</v>
      </c>
      <c r="C6" s="2" t="s">
        <v>1132</v>
      </c>
      <c r="D6" t="s">
        <v>37</v>
      </c>
      <c r="E6" t="s">
        <v>38</v>
      </c>
      <c r="F6" t="s">
        <v>39</v>
      </c>
      <c r="I6" t="s">
        <v>16</v>
      </c>
      <c r="J6" t="s">
        <v>40</v>
      </c>
      <c r="K6" t="s">
        <v>41</v>
      </c>
      <c r="L6" t="s">
        <v>42</v>
      </c>
    </row>
    <row r="7" spans="1:12" x14ac:dyDescent="0.25">
      <c r="A7" t="s">
        <v>43</v>
      </c>
      <c r="B7">
        <v>-0.50277777777777699</v>
      </c>
      <c r="C7">
        <v>20.675000000000001</v>
      </c>
      <c r="D7" t="s">
        <v>44</v>
      </c>
      <c r="E7" t="s">
        <v>45</v>
      </c>
      <c r="F7" t="s">
        <v>15</v>
      </c>
      <c r="I7" t="s">
        <v>16</v>
      </c>
      <c r="J7" t="s">
        <v>23</v>
      </c>
      <c r="K7" t="s">
        <v>18</v>
      </c>
      <c r="L7" t="s">
        <v>46</v>
      </c>
    </row>
    <row r="8" spans="1:12" x14ac:dyDescent="0.25">
      <c r="A8" t="s">
        <v>47</v>
      </c>
      <c r="B8">
        <v>-9.5833333333333304</v>
      </c>
      <c r="C8" s="2" t="s">
        <v>1135</v>
      </c>
      <c r="D8" t="s">
        <v>48</v>
      </c>
      <c r="E8" t="s">
        <v>49</v>
      </c>
      <c r="F8" t="s">
        <v>15</v>
      </c>
      <c r="I8" t="s">
        <v>17</v>
      </c>
      <c r="J8" t="s">
        <v>50</v>
      </c>
      <c r="K8" t="s">
        <v>51</v>
      </c>
      <c r="L8" t="s">
        <v>23</v>
      </c>
    </row>
    <row r="9" spans="1:12" x14ac:dyDescent="0.25">
      <c r="A9" t="s">
        <v>52</v>
      </c>
      <c r="B9">
        <v>-9.0024999999999995</v>
      </c>
      <c r="C9" s="2" t="s">
        <v>1136</v>
      </c>
      <c r="D9" t="s">
        <v>53</v>
      </c>
      <c r="E9" t="s">
        <v>54</v>
      </c>
      <c r="F9" t="s">
        <v>15</v>
      </c>
      <c r="I9" t="s">
        <v>16</v>
      </c>
      <c r="J9" t="s">
        <v>55</v>
      </c>
      <c r="K9" t="s">
        <v>18</v>
      </c>
      <c r="L9" t="s">
        <v>56</v>
      </c>
    </row>
    <row r="10" spans="1:12" x14ac:dyDescent="0.25">
      <c r="A10" t="s">
        <v>57</v>
      </c>
      <c r="B10">
        <v>-0.35</v>
      </c>
      <c r="C10" s="2" t="s">
        <v>1137</v>
      </c>
      <c r="D10" t="s">
        <v>58</v>
      </c>
      <c r="E10" t="s">
        <v>59</v>
      </c>
      <c r="F10" t="s">
        <v>60</v>
      </c>
      <c r="G10" t="s">
        <v>61</v>
      </c>
      <c r="H10" t="s">
        <v>62</v>
      </c>
      <c r="I10" t="s">
        <v>16</v>
      </c>
      <c r="J10" t="s">
        <v>17</v>
      </c>
      <c r="K10" t="s">
        <v>63</v>
      </c>
      <c r="L10" t="s">
        <v>64</v>
      </c>
    </row>
    <row r="11" spans="1:12" x14ac:dyDescent="0.25">
      <c r="A11" t="s">
        <v>65</v>
      </c>
      <c r="B11">
        <v>-9.9833333333333307</v>
      </c>
      <c r="C11">
        <v>33.25</v>
      </c>
      <c r="D11" t="s">
        <v>66</v>
      </c>
      <c r="E11" t="s">
        <v>67</v>
      </c>
      <c r="F11" t="s">
        <v>15</v>
      </c>
      <c r="I11" t="s">
        <v>16</v>
      </c>
      <c r="J11" t="s">
        <v>23</v>
      </c>
      <c r="K11" t="s">
        <v>18</v>
      </c>
      <c r="L11" t="s">
        <v>68</v>
      </c>
    </row>
    <row r="12" spans="1:12" x14ac:dyDescent="0.25">
      <c r="A12" t="s">
        <v>69</v>
      </c>
      <c r="B12">
        <v>-10.1666666666666</v>
      </c>
      <c r="C12">
        <v>20.5</v>
      </c>
      <c r="D12" t="s">
        <v>70</v>
      </c>
      <c r="E12" t="s">
        <v>71</v>
      </c>
      <c r="F12" t="s">
        <v>15</v>
      </c>
      <c r="I12" t="s">
        <v>16</v>
      </c>
      <c r="J12" t="s">
        <v>72</v>
      </c>
      <c r="K12" t="s">
        <v>18</v>
      </c>
      <c r="L12" t="s">
        <v>73</v>
      </c>
    </row>
    <row r="13" spans="1:12" x14ac:dyDescent="0.25">
      <c r="A13" t="s">
        <v>74</v>
      </c>
      <c r="B13">
        <v>-10.0027777777777</v>
      </c>
      <c r="C13" s="2" t="s">
        <v>1138</v>
      </c>
      <c r="D13" t="s">
        <v>75</v>
      </c>
      <c r="E13" t="s">
        <v>76</v>
      </c>
      <c r="F13" t="s">
        <v>15</v>
      </c>
      <c r="I13" t="s">
        <v>16</v>
      </c>
      <c r="J13" t="s">
        <v>23</v>
      </c>
      <c r="K13" t="s">
        <v>77</v>
      </c>
      <c r="L13" t="s">
        <v>78</v>
      </c>
    </row>
    <row r="14" spans="1:12" x14ac:dyDescent="0.25">
      <c r="A14" t="s">
        <v>79</v>
      </c>
      <c r="B14" s="2" t="s">
        <v>1139</v>
      </c>
      <c r="C14" s="2" t="s">
        <v>1140</v>
      </c>
      <c r="D14" t="s">
        <v>80</v>
      </c>
      <c r="E14" t="s">
        <v>81</v>
      </c>
      <c r="F14" t="s">
        <v>82</v>
      </c>
      <c r="G14" t="s">
        <v>83</v>
      </c>
      <c r="H14" t="s">
        <v>29</v>
      </c>
      <c r="I14" t="s">
        <v>16</v>
      </c>
      <c r="J14" t="s">
        <v>84</v>
      </c>
      <c r="K14" t="s">
        <v>85</v>
      </c>
      <c r="L14" t="s">
        <v>31</v>
      </c>
    </row>
    <row r="15" spans="1:12" x14ac:dyDescent="0.25">
      <c r="A15" t="s">
        <v>86</v>
      </c>
      <c r="B15">
        <v>-10.966666666666599</v>
      </c>
      <c r="C15" s="2" t="s">
        <v>1141</v>
      </c>
      <c r="D15" t="s">
        <v>87</v>
      </c>
      <c r="E15" t="s">
        <v>88</v>
      </c>
      <c r="F15" t="s">
        <v>89</v>
      </c>
      <c r="I15" t="s">
        <v>16</v>
      </c>
      <c r="J15" t="s">
        <v>90</v>
      </c>
      <c r="K15" t="s">
        <v>91</v>
      </c>
      <c r="L15" t="s">
        <v>92</v>
      </c>
    </row>
    <row r="16" spans="1:12" x14ac:dyDescent="0.25">
      <c r="A16" t="s">
        <v>93</v>
      </c>
      <c r="B16">
        <v>-10.8333333333333</v>
      </c>
      <c r="C16">
        <v>33.25</v>
      </c>
      <c r="D16" t="s">
        <v>94</v>
      </c>
      <c r="E16" t="s">
        <v>95</v>
      </c>
      <c r="F16" t="s">
        <v>15</v>
      </c>
      <c r="I16" t="s">
        <v>17</v>
      </c>
      <c r="J16" t="s">
        <v>17</v>
      </c>
      <c r="K16" t="s">
        <v>96</v>
      </c>
      <c r="L16" t="s">
        <v>25</v>
      </c>
    </row>
    <row r="17" spans="1:12" x14ac:dyDescent="0.25">
      <c r="A17" t="s">
        <v>97</v>
      </c>
      <c r="B17" s="2" t="s">
        <v>1142</v>
      </c>
      <c r="C17" s="2" t="s">
        <v>1143</v>
      </c>
      <c r="D17" t="s">
        <v>98</v>
      </c>
      <c r="E17" t="s">
        <v>99</v>
      </c>
      <c r="F17" t="s">
        <v>29</v>
      </c>
      <c r="G17" t="s">
        <v>100</v>
      </c>
      <c r="H17" t="s">
        <v>101</v>
      </c>
      <c r="I17" t="s">
        <v>16</v>
      </c>
      <c r="J17" t="s">
        <v>23</v>
      </c>
      <c r="K17" t="s">
        <v>102</v>
      </c>
      <c r="L17" t="s">
        <v>103</v>
      </c>
    </row>
    <row r="18" spans="1:12" x14ac:dyDescent="0.25">
      <c r="A18" t="s">
        <v>104</v>
      </c>
      <c r="B18">
        <v>-11.9166666666666</v>
      </c>
      <c r="C18">
        <v>-24.483333333333299</v>
      </c>
      <c r="D18" t="s">
        <v>105</v>
      </c>
      <c r="E18" t="s">
        <v>106</v>
      </c>
      <c r="F18" t="s">
        <v>29</v>
      </c>
      <c r="G18" t="s">
        <v>107</v>
      </c>
      <c r="I18" t="s">
        <v>16</v>
      </c>
      <c r="J18" t="s">
        <v>90</v>
      </c>
      <c r="K18" t="s">
        <v>108</v>
      </c>
      <c r="L18" t="s">
        <v>109</v>
      </c>
    </row>
    <row r="19" spans="1:12" x14ac:dyDescent="0.25">
      <c r="A19" t="s">
        <v>110</v>
      </c>
      <c r="B19">
        <v>-11.8366666666666</v>
      </c>
      <c r="C19" s="2" t="s">
        <v>1144</v>
      </c>
      <c r="D19" t="s">
        <v>111</v>
      </c>
      <c r="E19" t="s">
        <v>112</v>
      </c>
      <c r="F19" t="s">
        <v>39</v>
      </c>
      <c r="I19" t="s">
        <v>16</v>
      </c>
      <c r="J19" t="s">
        <v>113</v>
      </c>
      <c r="K19" t="s">
        <v>114</v>
      </c>
      <c r="L19" t="s">
        <v>115</v>
      </c>
    </row>
    <row r="20" spans="1:12" x14ac:dyDescent="0.25">
      <c r="A20" t="s">
        <v>116</v>
      </c>
      <c r="B20">
        <v>-12</v>
      </c>
      <c r="C20" s="2" t="s">
        <v>1145</v>
      </c>
      <c r="D20" t="s">
        <v>117</v>
      </c>
      <c r="E20" t="s">
        <v>118</v>
      </c>
      <c r="F20" t="s">
        <v>39</v>
      </c>
      <c r="I20" t="s">
        <v>16</v>
      </c>
      <c r="J20" t="s">
        <v>23</v>
      </c>
      <c r="K20" t="s">
        <v>119</v>
      </c>
      <c r="L20" t="s">
        <v>120</v>
      </c>
    </row>
    <row r="21" spans="1:12" x14ac:dyDescent="0.25">
      <c r="A21" t="s">
        <v>121</v>
      </c>
      <c r="B21">
        <v>-11.2</v>
      </c>
      <c r="C21" s="2" t="s">
        <v>1146</v>
      </c>
      <c r="D21" t="s">
        <v>122</v>
      </c>
      <c r="E21" t="s">
        <v>123</v>
      </c>
      <c r="F21" t="s">
        <v>89</v>
      </c>
      <c r="I21" t="s">
        <v>16</v>
      </c>
      <c r="J21" t="s">
        <v>17</v>
      </c>
      <c r="K21" t="s">
        <v>124</v>
      </c>
      <c r="L21" t="s">
        <v>125</v>
      </c>
    </row>
    <row r="22" spans="1:12" x14ac:dyDescent="0.25">
      <c r="A22" t="s">
        <v>126</v>
      </c>
      <c r="B22">
        <v>-8.5033333333333303</v>
      </c>
      <c r="C22" s="2" t="s">
        <v>1147</v>
      </c>
      <c r="D22" t="s">
        <v>127</v>
      </c>
      <c r="E22" t="s">
        <v>128</v>
      </c>
      <c r="F22" t="s">
        <v>89</v>
      </c>
      <c r="G22" t="s">
        <v>29</v>
      </c>
      <c r="H22" t="s">
        <v>129</v>
      </c>
      <c r="I22" t="s">
        <v>16</v>
      </c>
      <c r="J22" t="s">
        <v>130</v>
      </c>
      <c r="K22" t="s">
        <v>131</v>
      </c>
      <c r="L22" t="s">
        <v>132</v>
      </c>
    </row>
    <row r="23" spans="1:12" x14ac:dyDescent="0.25">
      <c r="A23" t="s">
        <v>133</v>
      </c>
      <c r="B23">
        <v>-11.883333333333301</v>
      </c>
      <c r="C23">
        <v>28.55</v>
      </c>
      <c r="D23" t="s">
        <v>134</v>
      </c>
      <c r="E23" t="s">
        <v>135</v>
      </c>
      <c r="F23" t="s">
        <v>39</v>
      </c>
      <c r="I23" t="s">
        <v>16</v>
      </c>
      <c r="J23" t="s">
        <v>17</v>
      </c>
      <c r="K23" t="s">
        <v>136</v>
      </c>
      <c r="L23" t="s">
        <v>137</v>
      </c>
    </row>
    <row r="24" spans="1:12" x14ac:dyDescent="0.25">
      <c r="A24" t="s">
        <v>138</v>
      </c>
      <c r="B24">
        <v>-11.0833333333333</v>
      </c>
      <c r="C24" s="2" t="s">
        <v>1148</v>
      </c>
      <c r="D24" t="s">
        <v>139</v>
      </c>
      <c r="E24" t="s">
        <v>140</v>
      </c>
      <c r="F24" t="s">
        <v>15</v>
      </c>
      <c r="I24" t="s">
        <v>16</v>
      </c>
      <c r="J24" t="s">
        <v>141</v>
      </c>
      <c r="K24" t="s">
        <v>142</v>
      </c>
      <c r="L24" t="s">
        <v>143</v>
      </c>
    </row>
    <row r="25" spans="1:12" x14ac:dyDescent="0.25">
      <c r="A25" t="s">
        <v>144</v>
      </c>
      <c r="B25">
        <v>-11.5</v>
      </c>
      <c r="C25" s="2" t="s">
        <v>1149</v>
      </c>
      <c r="D25" t="s">
        <v>145</v>
      </c>
      <c r="E25" t="s">
        <v>146</v>
      </c>
      <c r="F25" t="s">
        <v>15</v>
      </c>
      <c r="I25" t="s">
        <v>16</v>
      </c>
      <c r="J25" t="s">
        <v>147</v>
      </c>
      <c r="K25" t="s">
        <v>148</v>
      </c>
      <c r="L25" t="s">
        <v>149</v>
      </c>
    </row>
    <row r="26" spans="1:12" x14ac:dyDescent="0.25">
      <c r="A26" t="s">
        <v>150</v>
      </c>
      <c r="B26">
        <v>-11.0030555555555</v>
      </c>
      <c r="C26" s="2" t="s">
        <v>1150</v>
      </c>
      <c r="D26" t="s">
        <v>151</v>
      </c>
      <c r="E26" t="s">
        <v>152</v>
      </c>
      <c r="F26" t="s">
        <v>15</v>
      </c>
      <c r="I26" t="s">
        <v>16</v>
      </c>
      <c r="J26" t="s">
        <v>23</v>
      </c>
      <c r="K26" t="s">
        <v>18</v>
      </c>
      <c r="L26" t="s">
        <v>153</v>
      </c>
    </row>
    <row r="27" spans="1:12" x14ac:dyDescent="0.25">
      <c r="A27" t="s">
        <v>154</v>
      </c>
      <c r="B27">
        <v>-12.6702777777777</v>
      </c>
      <c r="C27" s="2" t="s">
        <v>1151</v>
      </c>
      <c r="D27" t="s">
        <v>155</v>
      </c>
      <c r="E27" t="s">
        <v>156</v>
      </c>
      <c r="F27" t="s">
        <v>15</v>
      </c>
      <c r="I27" t="s">
        <v>16</v>
      </c>
      <c r="J27" t="s">
        <v>23</v>
      </c>
      <c r="K27" t="s">
        <v>18</v>
      </c>
      <c r="L27" t="s">
        <v>125</v>
      </c>
    </row>
    <row r="28" spans="1:12" x14ac:dyDescent="0.25">
      <c r="A28" t="s">
        <v>157</v>
      </c>
      <c r="B28">
        <v>-12.0833333333333</v>
      </c>
      <c r="C28" s="2" t="s">
        <v>1152</v>
      </c>
      <c r="D28" t="s">
        <v>158</v>
      </c>
      <c r="E28" t="s">
        <v>159</v>
      </c>
      <c r="F28" t="s">
        <v>29</v>
      </c>
      <c r="I28" t="s">
        <v>16</v>
      </c>
      <c r="J28" t="s">
        <v>23</v>
      </c>
      <c r="K28" t="s">
        <v>160</v>
      </c>
      <c r="L28" t="s">
        <v>161</v>
      </c>
    </row>
    <row r="29" spans="1:12" x14ac:dyDescent="0.25">
      <c r="A29" t="s">
        <v>162</v>
      </c>
      <c r="B29">
        <v>-12.25</v>
      </c>
      <c r="C29">
        <v>24.45</v>
      </c>
      <c r="D29" t="s">
        <v>163</v>
      </c>
      <c r="E29" t="s">
        <v>164</v>
      </c>
      <c r="F29" t="s">
        <v>29</v>
      </c>
      <c r="G29" t="s">
        <v>107</v>
      </c>
      <c r="H29" t="s">
        <v>165</v>
      </c>
      <c r="I29" t="s">
        <v>16</v>
      </c>
      <c r="J29" t="s">
        <v>72</v>
      </c>
      <c r="K29" t="s">
        <v>160</v>
      </c>
      <c r="L29" t="s">
        <v>166</v>
      </c>
    </row>
    <row r="30" spans="1:12" x14ac:dyDescent="0.25">
      <c r="A30" t="s">
        <v>167</v>
      </c>
      <c r="B30">
        <v>-12.0033333333333</v>
      </c>
      <c r="C30" s="2" t="s">
        <v>1153</v>
      </c>
      <c r="D30" t="s">
        <v>168</v>
      </c>
      <c r="E30" t="s">
        <v>169</v>
      </c>
      <c r="F30" t="s">
        <v>39</v>
      </c>
      <c r="I30" t="s">
        <v>17</v>
      </c>
      <c r="J30" t="s">
        <v>16</v>
      </c>
      <c r="K30" t="s">
        <v>23</v>
      </c>
      <c r="L30" t="s">
        <v>170</v>
      </c>
    </row>
    <row r="31" spans="1:12" x14ac:dyDescent="0.25">
      <c r="A31" t="s">
        <v>171</v>
      </c>
      <c r="B31" s="2" t="s">
        <v>1154</v>
      </c>
      <c r="C31">
        <v>24.35</v>
      </c>
      <c r="D31" t="s">
        <v>172</v>
      </c>
      <c r="E31" t="s">
        <v>173</v>
      </c>
      <c r="F31" t="s">
        <v>29</v>
      </c>
      <c r="I31" t="s">
        <v>16</v>
      </c>
      <c r="J31" t="s">
        <v>23</v>
      </c>
      <c r="K31" t="s">
        <v>174</v>
      </c>
      <c r="L31" t="s">
        <v>175</v>
      </c>
    </row>
    <row r="32" spans="1:12" x14ac:dyDescent="0.25">
      <c r="A32" t="s">
        <v>176</v>
      </c>
      <c r="B32">
        <v>-12.17</v>
      </c>
      <c r="C32">
        <v>24.34</v>
      </c>
      <c r="D32" t="s">
        <v>177</v>
      </c>
      <c r="E32" t="s">
        <v>178</v>
      </c>
      <c r="F32" t="s">
        <v>15</v>
      </c>
      <c r="I32" t="s">
        <v>16</v>
      </c>
      <c r="J32" t="s">
        <v>72</v>
      </c>
      <c r="K32" t="s">
        <v>18</v>
      </c>
      <c r="L32" t="s">
        <v>179</v>
      </c>
    </row>
    <row r="33" spans="1:12" x14ac:dyDescent="0.25">
      <c r="A33" t="s">
        <v>180</v>
      </c>
      <c r="B33">
        <v>-12.816666666666601</v>
      </c>
      <c r="C33" s="2" t="s">
        <v>1155</v>
      </c>
      <c r="D33" t="s">
        <v>181</v>
      </c>
      <c r="E33" t="s">
        <v>182</v>
      </c>
      <c r="F33" t="s">
        <v>165</v>
      </c>
      <c r="G33" t="s">
        <v>29</v>
      </c>
      <c r="I33" t="s">
        <v>16</v>
      </c>
      <c r="J33" t="s">
        <v>23</v>
      </c>
      <c r="K33" t="s">
        <v>183</v>
      </c>
      <c r="L33" t="s">
        <v>184</v>
      </c>
    </row>
    <row r="34" spans="1:12" x14ac:dyDescent="0.25">
      <c r="A34" t="s">
        <v>185</v>
      </c>
      <c r="B34" s="2" t="s">
        <v>1156</v>
      </c>
      <c r="C34">
        <v>1224</v>
      </c>
      <c r="D34" t="s">
        <v>186</v>
      </c>
      <c r="E34" t="s">
        <v>29</v>
      </c>
      <c r="H34" t="s">
        <v>51</v>
      </c>
      <c r="I34" t="s">
        <v>17</v>
      </c>
      <c r="J34" t="s">
        <v>187</v>
      </c>
      <c r="K34" t="s">
        <v>188</v>
      </c>
      <c r="L34" t="s">
        <v>189</v>
      </c>
    </row>
    <row r="35" spans="1:12" x14ac:dyDescent="0.25">
      <c r="A35" t="s">
        <v>190</v>
      </c>
      <c r="B35">
        <v>-12.2</v>
      </c>
      <c r="C35" s="2" t="s">
        <v>1157</v>
      </c>
      <c r="D35" t="s">
        <v>191</v>
      </c>
      <c r="E35" t="s">
        <v>192</v>
      </c>
      <c r="F35" t="s">
        <v>29</v>
      </c>
      <c r="G35" t="s">
        <v>193</v>
      </c>
      <c r="H35" t="s">
        <v>194</v>
      </c>
      <c r="I35" t="s">
        <v>16</v>
      </c>
      <c r="J35" t="s">
        <v>23</v>
      </c>
      <c r="K35" t="s">
        <v>195</v>
      </c>
      <c r="L35" t="s">
        <v>196</v>
      </c>
    </row>
    <row r="36" spans="1:12" x14ac:dyDescent="0.25">
      <c r="A36" t="s">
        <v>197</v>
      </c>
      <c r="B36">
        <v>-12.283333333333299</v>
      </c>
      <c r="C36" s="2" t="s">
        <v>1158</v>
      </c>
      <c r="D36" t="s">
        <v>198</v>
      </c>
      <c r="E36" t="s">
        <v>199</v>
      </c>
      <c r="F36" t="s">
        <v>29</v>
      </c>
      <c r="G36" t="s">
        <v>200</v>
      </c>
      <c r="H36" t="s">
        <v>107</v>
      </c>
      <c r="I36" t="s">
        <v>16</v>
      </c>
      <c r="J36" t="s">
        <v>201</v>
      </c>
      <c r="K36" t="s">
        <v>160</v>
      </c>
      <c r="L36" t="s">
        <v>202</v>
      </c>
    </row>
    <row r="37" spans="1:12" x14ac:dyDescent="0.25">
      <c r="A37" t="s">
        <v>203</v>
      </c>
      <c r="B37">
        <v>-12.15</v>
      </c>
      <c r="C37" s="2" t="s">
        <v>1159</v>
      </c>
      <c r="D37" t="s">
        <v>204</v>
      </c>
      <c r="E37" t="s">
        <v>205</v>
      </c>
      <c r="F37" t="s">
        <v>29</v>
      </c>
      <c r="I37" t="s">
        <v>16</v>
      </c>
      <c r="J37" t="s">
        <v>206</v>
      </c>
      <c r="K37" t="s">
        <v>160</v>
      </c>
      <c r="L37" t="s">
        <v>207</v>
      </c>
    </row>
    <row r="38" spans="1:12" x14ac:dyDescent="0.25">
      <c r="A38" t="s">
        <v>208</v>
      </c>
      <c r="B38">
        <v>-12.25</v>
      </c>
      <c r="C38">
        <v>25.8</v>
      </c>
      <c r="D38" t="s">
        <v>209</v>
      </c>
      <c r="E38" t="s">
        <v>210</v>
      </c>
      <c r="F38" t="s">
        <v>29</v>
      </c>
      <c r="G38" t="s">
        <v>165</v>
      </c>
      <c r="H38" t="s">
        <v>60</v>
      </c>
      <c r="I38" t="s">
        <v>16</v>
      </c>
      <c r="J38" t="s">
        <v>211</v>
      </c>
      <c r="K38" t="s">
        <v>160</v>
      </c>
      <c r="L38" t="s">
        <v>212</v>
      </c>
    </row>
    <row r="39" spans="1:12" x14ac:dyDescent="0.25">
      <c r="A39" t="s">
        <v>213</v>
      </c>
      <c r="B39">
        <v>-12.283333333333299</v>
      </c>
      <c r="C39" s="2" t="s">
        <v>1160</v>
      </c>
      <c r="D39" t="s">
        <v>214</v>
      </c>
      <c r="E39" t="s">
        <v>215</v>
      </c>
      <c r="F39" t="s">
        <v>29</v>
      </c>
      <c r="I39" t="s">
        <v>17</v>
      </c>
      <c r="J39" t="s">
        <v>23</v>
      </c>
      <c r="K39" t="s">
        <v>160</v>
      </c>
      <c r="L39" t="s">
        <v>216</v>
      </c>
    </row>
    <row r="40" spans="1:12" x14ac:dyDescent="0.25">
      <c r="A40" t="s">
        <v>217</v>
      </c>
      <c r="B40" s="2" t="s">
        <v>1161</v>
      </c>
      <c r="C40" s="2" t="s">
        <v>1162</v>
      </c>
      <c r="D40" t="s">
        <v>218</v>
      </c>
      <c r="E40" t="s">
        <v>219</v>
      </c>
      <c r="F40" t="s">
        <v>29</v>
      </c>
      <c r="I40" t="s">
        <v>17</v>
      </c>
      <c r="J40" t="s">
        <v>23</v>
      </c>
      <c r="K40" t="s">
        <v>160</v>
      </c>
      <c r="L40" t="s">
        <v>220</v>
      </c>
    </row>
    <row r="41" spans="1:12" x14ac:dyDescent="0.25">
      <c r="A41" t="s">
        <v>221</v>
      </c>
      <c r="B41">
        <v>-12.4166666666666</v>
      </c>
      <c r="C41">
        <v>25.75</v>
      </c>
      <c r="D41" t="s">
        <v>222</v>
      </c>
      <c r="E41" t="s">
        <v>223</v>
      </c>
      <c r="F41" t="s">
        <v>29</v>
      </c>
      <c r="I41" t="s">
        <v>16</v>
      </c>
      <c r="J41" t="s">
        <v>23</v>
      </c>
      <c r="K41" t="s">
        <v>224</v>
      </c>
      <c r="L41" t="s">
        <v>189</v>
      </c>
    </row>
    <row r="42" spans="1:12" x14ac:dyDescent="0.25">
      <c r="A42" t="s">
        <v>225</v>
      </c>
      <c r="B42">
        <v>-12.2666666666666</v>
      </c>
      <c r="C42" s="2" t="s">
        <v>1163</v>
      </c>
      <c r="D42" t="s">
        <v>226</v>
      </c>
      <c r="E42" t="s">
        <v>227</v>
      </c>
      <c r="F42" t="s">
        <v>228</v>
      </c>
      <c r="G42" t="s">
        <v>29</v>
      </c>
      <c r="H42" t="s">
        <v>229</v>
      </c>
      <c r="I42" t="s">
        <v>17</v>
      </c>
      <c r="J42" t="s">
        <v>230</v>
      </c>
      <c r="K42" t="s">
        <v>231</v>
      </c>
      <c r="L42" t="s">
        <v>232</v>
      </c>
    </row>
    <row r="43" spans="1:12" x14ac:dyDescent="0.25">
      <c r="A43" t="s">
        <v>233</v>
      </c>
      <c r="B43">
        <v>-12.966666666666599</v>
      </c>
      <c r="C43" s="2" t="s">
        <v>1164</v>
      </c>
      <c r="D43" t="s">
        <v>234</v>
      </c>
      <c r="E43" t="s">
        <v>235</v>
      </c>
      <c r="F43" t="s">
        <v>29</v>
      </c>
      <c r="I43" t="s">
        <v>16</v>
      </c>
      <c r="J43" t="s">
        <v>23</v>
      </c>
      <c r="K43" t="s">
        <v>236</v>
      </c>
      <c r="L43" t="s">
        <v>237</v>
      </c>
    </row>
    <row r="44" spans="1:12" x14ac:dyDescent="0.25">
      <c r="A44" t="s">
        <v>238</v>
      </c>
      <c r="B44">
        <v>-12.9333333333333</v>
      </c>
      <c r="C44" s="2" t="s">
        <v>1165</v>
      </c>
      <c r="D44" t="s">
        <v>239</v>
      </c>
      <c r="E44" t="s">
        <v>240</v>
      </c>
      <c r="F44" t="s">
        <v>129</v>
      </c>
      <c r="G44" t="s">
        <v>241</v>
      </c>
      <c r="H44" t="s">
        <v>29</v>
      </c>
      <c r="I44" t="s">
        <v>16</v>
      </c>
      <c r="J44" t="s">
        <v>242</v>
      </c>
      <c r="K44" t="s">
        <v>243</v>
      </c>
      <c r="L44" t="s">
        <v>244</v>
      </c>
    </row>
    <row r="45" spans="1:12" x14ac:dyDescent="0.25">
      <c r="A45" t="s">
        <v>245</v>
      </c>
      <c r="B45" s="2" t="s">
        <v>1166</v>
      </c>
      <c r="C45">
        <v>28.65</v>
      </c>
      <c r="D45" t="s">
        <v>246</v>
      </c>
      <c r="E45" t="s">
        <v>247</v>
      </c>
      <c r="F45" t="s">
        <v>29</v>
      </c>
      <c r="G45" t="s">
        <v>248</v>
      </c>
      <c r="I45" t="s">
        <v>16</v>
      </c>
      <c r="J45" t="s">
        <v>249</v>
      </c>
      <c r="K45" t="s">
        <v>250</v>
      </c>
      <c r="L45" t="s">
        <v>251</v>
      </c>
    </row>
    <row r="46" spans="1:12" x14ac:dyDescent="0.25">
      <c r="A46" t="s">
        <v>252</v>
      </c>
      <c r="B46">
        <v>-12.75</v>
      </c>
      <c r="C46" s="2" t="s">
        <v>1165</v>
      </c>
      <c r="D46" t="s">
        <v>253</v>
      </c>
      <c r="E46" t="s">
        <v>254</v>
      </c>
      <c r="F46" t="s">
        <v>29</v>
      </c>
      <c r="I46" t="s">
        <v>16</v>
      </c>
      <c r="J46" t="s">
        <v>255</v>
      </c>
      <c r="K46" t="s">
        <v>250</v>
      </c>
      <c r="L46" t="s">
        <v>256</v>
      </c>
    </row>
    <row r="47" spans="1:12" x14ac:dyDescent="0.25">
      <c r="A47" t="s">
        <v>257</v>
      </c>
      <c r="B47">
        <v>-12.8666666666666</v>
      </c>
      <c r="C47" s="2" t="s">
        <v>1167</v>
      </c>
      <c r="D47" t="s">
        <v>253</v>
      </c>
      <c r="E47" t="s">
        <v>258</v>
      </c>
      <c r="F47" t="s">
        <v>29</v>
      </c>
      <c r="I47" t="s">
        <v>16</v>
      </c>
      <c r="J47" t="s">
        <v>259</v>
      </c>
      <c r="K47" t="s">
        <v>250</v>
      </c>
      <c r="L47" t="s">
        <v>260</v>
      </c>
    </row>
    <row r="48" spans="1:12" x14ac:dyDescent="0.25">
      <c r="A48" t="s">
        <v>261</v>
      </c>
      <c r="B48">
        <v>-12.9333333333333</v>
      </c>
      <c r="C48" s="2" t="s">
        <v>1168</v>
      </c>
      <c r="D48" t="s">
        <v>253</v>
      </c>
      <c r="E48" t="s">
        <v>262</v>
      </c>
      <c r="F48" t="s">
        <v>29</v>
      </c>
      <c r="I48" t="s">
        <v>16</v>
      </c>
      <c r="J48" t="s">
        <v>263</v>
      </c>
      <c r="K48" t="s">
        <v>264</v>
      </c>
      <c r="L48" t="s">
        <v>265</v>
      </c>
    </row>
    <row r="49" spans="1:12" x14ac:dyDescent="0.25">
      <c r="A49" t="s">
        <v>266</v>
      </c>
      <c r="B49">
        <v>-12.5833333333333</v>
      </c>
      <c r="C49" s="2" t="s">
        <v>1169</v>
      </c>
      <c r="D49" t="s">
        <v>267</v>
      </c>
      <c r="E49" t="s">
        <v>268</v>
      </c>
      <c r="F49" t="s">
        <v>29</v>
      </c>
      <c r="I49" t="s">
        <v>16</v>
      </c>
      <c r="J49" t="s">
        <v>269</v>
      </c>
      <c r="K49" t="s">
        <v>270</v>
      </c>
      <c r="L49" t="s">
        <v>271</v>
      </c>
    </row>
    <row r="50" spans="1:12" x14ac:dyDescent="0.25">
      <c r="A50" t="s">
        <v>272</v>
      </c>
      <c r="B50">
        <v>-12.8333333333333</v>
      </c>
      <c r="C50">
        <v>28.25</v>
      </c>
      <c r="D50" t="s">
        <v>273</v>
      </c>
      <c r="E50" t="s">
        <v>274</v>
      </c>
      <c r="F50" t="s">
        <v>29</v>
      </c>
      <c r="G50" t="s">
        <v>107</v>
      </c>
      <c r="I50" t="s">
        <v>16</v>
      </c>
      <c r="J50" t="s">
        <v>275</v>
      </c>
      <c r="K50" t="s">
        <v>276</v>
      </c>
      <c r="L50" t="s">
        <v>277</v>
      </c>
    </row>
    <row r="51" spans="1:12" x14ac:dyDescent="0.25">
      <c r="A51" t="s">
        <v>278</v>
      </c>
      <c r="B51">
        <v>-12.5833333333333</v>
      </c>
      <c r="C51" s="2" t="s">
        <v>1170</v>
      </c>
      <c r="D51" t="s">
        <v>279</v>
      </c>
      <c r="E51" t="s">
        <v>280</v>
      </c>
      <c r="F51" t="s">
        <v>29</v>
      </c>
      <c r="I51" t="s">
        <v>17</v>
      </c>
      <c r="J51" t="s">
        <v>281</v>
      </c>
      <c r="K51" t="s">
        <v>282</v>
      </c>
      <c r="L51" t="s">
        <v>283</v>
      </c>
    </row>
    <row r="52" spans="1:12" x14ac:dyDescent="0.25">
      <c r="A52" t="s">
        <v>284</v>
      </c>
      <c r="B52">
        <v>-12.453333333333299</v>
      </c>
      <c r="C52" s="2" t="s">
        <v>1171</v>
      </c>
      <c r="D52" t="s">
        <v>285</v>
      </c>
      <c r="E52" t="s">
        <v>286</v>
      </c>
      <c r="F52" t="s">
        <v>29</v>
      </c>
      <c r="G52" t="s">
        <v>107</v>
      </c>
      <c r="I52" t="s">
        <v>16</v>
      </c>
      <c r="J52" t="s">
        <v>287</v>
      </c>
      <c r="K52" t="s">
        <v>288</v>
      </c>
      <c r="L52" t="s">
        <v>289</v>
      </c>
    </row>
    <row r="53" spans="1:12" x14ac:dyDescent="0.25">
      <c r="A53" t="s">
        <v>290</v>
      </c>
      <c r="B53" s="2" t="s">
        <v>1172</v>
      </c>
      <c r="C53">
        <v>-12.7666666666666</v>
      </c>
      <c r="D53" t="s">
        <v>291</v>
      </c>
      <c r="E53" t="s">
        <v>292</v>
      </c>
      <c r="F53" t="s">
        <v>29</v>
      </c>
      <c r="G53" t="s">
        <v>107</v>
      </c>
      <c r="I53" t="s">
        <v>17</v>
      </c>
      <c r="J53" t="s">
        <v>293</v>
      </c>
      <c r="K53" t="s">
        <v>294</v>
      </c>
      <c r="L53" t="s">
        <v>295</v>
      </c>
    </row>
    <row r="54" spans="1:12" x14ac:dyDescent="0.25">
      <c r="A54" t="s">
        <v>238</v>
      </c>
      <c r="B54">
        <v>-12.9333333333333</v>
      </c>
      <c r="C54" s="2" t="s">
        <v>1165</v>
      </c>
      <c r="D54" t="s">
        <v>239</v>
      </c>
      <c r="E54" t="s">
        <v>240</v>
      </c>
      <c r="F54" t="s">
        <v>129</v>
      </c>
      <c r="G54" t="s">
        <v>241</v>
      </c>
      <c r="H54" t="s">
        <v>29</v>
      </c>
      <c r="I54" t="s">
        <v>16</v>
      </c>
      <c r="J54" t="s">
        <v>242</v>
      </c>
      <c r="K54" t="s">
        <v>243</v>
      </c>
      <c r="L54" t="s">
        <v>244</v>
      </c>
    </row>
    <row r="55" spans="1:12" x14ac:dyDescent="0.25">
      <c r="A55" t="s">
        <v>245</v>
      </c>
      <c r="B55" s="2" t="s">
        <v>1166</v>
      </c>
      <c r="C55">
        <v>28.65</v>
      </c>
      <c r="D55" t="s">
        <v>246</v>
      </c>
      <c r="E55" t="s">
        <v>247</v>
      </c>
      <c r="F55" t="s">
        <v>29</v>
      </c>
      <c r="G55" t="s">
        <v>248</v>
      </c>
      <c r="I55" t="s">
        <v>16</v>
      </c>
      <c r="J55" t="s">
        <v>249</v>
      </c>
      <c r="K55" t="s">
        <v>250</v>
      </c>
      <c r="L55" t="s">
        <v>251</v>
      </c>
    </row>
    <row r="56" spans="1:12" x14ac:dyDescent="0.25">
      <c r="A56" t="s">
        <v>252</v>
      </c>
      <c r="B56">
        <v>-12.75</v>
      </c>
      <c r="C56" s="2" t="s">
        <v>1165</v>
      </c>
      <c r="D56" t="s">
        <v>253</v>
      </c>
      <c r="E56" t="s">
        <v>254</v>
      </c>
      <c r="F56" t="s">
        <v>29</v>
      </c>
      <c r="I56" t="s">
        <v>16</v>
      </c>
      <c r="J56" t="s">
        <v>255</v>
      </c>
      <c r="K56" t="s">
        <v>250</v>
      </c>
      <c r="L56" t="s">
        <v>256</v>
      </c>
    </row>
    <row r="57" spans="1:12" x14ac:dyDescent="0.25">
      <c r="A57" t="s">
        <v>257</v>
      </c>
      <c r="B57">
        <v>-12.8666666666666</v>
      </c>
      <c r="C57" s="2" t="s">
        <v>1167</v>
      </c>
      <c r="D57" t="s">
        <v>253</v>
      </c>
      <c r="E57" t="s">
        <v>258</v>
      </c>
      <c r="F57" t="s">
        <v>29</v>
      </c>
      <c r="I57" t="s">
        <v>16</v>
      </c>
      <c r="J57" t="s">
        <v>259</v>
      </c>
      <c r="K57" t="s">
        <v>250</v>
      </c>
      <c r="L57" t="s">
        <v>260</v>
      </c>
    </row>
    <row r="58" spans="1:12" x14ac:dyDescent="0.25">
      <c r="A58" t="s">
        <v>261</v>
      </c>
      <c r="B58">
        <v>-12.9333333333333</v>
      </c>
      <c r="C58" s="2" t="s">
        <v>1168</v>
      </c>
      <c r="D58" t="s">
        <v>253</v>
      </c>
      <c r="E58" t="s">
        <v>262</v>
      </c>
      <c r="F58" t="s">
        <v>29</v>
      </c>
      <c r="I58" t="s">
        <v>16</v>
      </c>
      <c r="J58" t="s">
        <v>263</v>
      </c>
      <c r="K58" t="s">
        <v>264</v>
      </c>
      <c r="L58" t="s">
        <v>265</v>
      </c>
    </row>
    <row r="59" spans="1:12" x14ac:dyDescent="0.25">
      <c r="A59" t="s">
        <v>266</v>
      </c>
      <c r="B59">
        <v>-12.5833333333333</v>
      </c>
      <c r="C59" s="2" t="s">
        <v>1169</v>
      </c>
      <c r="D59" t="s">
        <v>267</v>
      </c>
      <c r="E59" t="s">
        <v>268</v>
      </c>
      <c r="F59" t="s">
        <v>29</v>
      </c>
      <c r="I59" t="s">
        <v>16</v>
      </c>
      <c r="J59" t="s">
        <v>269</v>
      </c>
      <c r="K59" t="s">
        <v>270</v>
      </c>
      <c r="L59" t="s">
        <v>271</v>
      </c>
    </row>
    <row r="60" spans="1:12" x14ac:dyDescent="0.25">
      <c r="A60" t="s">
        <v>272</v>
      </c>
      <c r="B60">
        <v>-12.8333333333333</v>
      </c>
      <c r="C60">
        <v>28.25</v>
      </c>
      <c r="D60" t="s">
        <v>273</v>
      </c>
      <c r="E60" t="s">
        <v>274</v>
      </c>
      <c r="F60" t="s">
        <v>29</v>
      </c>
      <c r="G60" t="s">
        <v>107</v>
      </c>
      <c r="I60" t="s">
        <v>16</v>
      </c>
      <c r="J60" t="s">
        <v>275</v>
      </c>
      <c r="K60" t="s">
        <v>276</v>
      </c>
      <c r="L60" t="s">
        <v>277</v>
      </c>
    </row>
    <row r="61" spans="1:12" x14ac:dyDescent="0.25">
      <c r="A61" t="s">
        <v>278</v>
      </c>
      <c r="B61">
        <v>-12.5833333333333</v>
      </c>
      <c r="C61" s="2" t="s">
        <v>1170</v>
      </c>
      <c r="D61" t="s">
        <v>279</v>
      </c>
      <c r="E61" t="s">
        <v>280</v>
      </c>
      <c r="F61" t="s">
        <v>29</v>
      </c>
      <c r="I61" t="s">
        <v>17</v>
      </c>
      <c r="J61" t="s">
        <v>281</v>
      </c>
      <c r="K61" t="s">
        <v>282</v>
      </c>
      <c r="L61" t="s">
        <v>283</v>
      </c>
    </row>
    <row r="62" spans="1:12" x14ac:dyDescent="0.25">
      <c r="A62" t="s">
        <v>284</v>
      </c>
      <c r="B62">
        <v>-12.453333333333299</v>
      </c>
      <c r="C62" s="2" t="s">
        <v>1171</v>
      </c>
      <c r="D62" t="s">
        <v>285</v>
      </c>
      <c r="E62" t="s">
        <v>286</v>
      </c>
      <c r="F62" t="s">
        <v>29</v>
      </c>
      <c r="G62" t="s">
        <v>107</v>
      </c>
      <c r="I62" t="s">
        <v>16</v>
      </c>
      <c r="J62" t="s">
        <v>287</v>
      </c>
      <c r="K62" t="s">
        <v>288</v>
      </c>
      <c r="L62" t="s">
        <v>289</v>
      </c>
    </row>
    <row r="63" spans="1:12" x14ac:dyDescent="0.25">
      <c r="A63" t="s">
        <v>290</v>
      </c>
      <c r="B63" s="2" t="s">
        <v>1172</v>
      </c>
      <c r="C63">
        <v>-12.7666666666666</v>
      </c>
      <c r="D63" t="s">
        <v>291</v>
      </c>
      <c r="E63" t="s">
        <v>292</v>
      </c>
      <c r="F63" t="s">
        <v>29</v>
      </c>
      <c r="G63" t="s">
        <v>107</v>
      </c>
      <c r="I63" t="s">
        <v>17</v>
      </c>
      <c r="J63" t="s">
        <v>293</v>
      </c>
      <c r="K63" t="s">
        <v>294</v>
      </c>
      <c r="L63" t="s">
        <v>296</v>
      </c>
    </row>
    <row r="64" spans="1:12" x14ac:dyDescent="0.25">
      <c r="A64" t="s">
        <v>297</v>
      </c>
      <c r="B64">
        <v>-12.883333333333301</v>
      </c>
      <c r="C64" s="2" t="s">
        <v>1173</v>
      </c>
      <c r="D64" t="s">
        <v>298</v>
      </c>
      <c r="E64" t="s">
        <v>299</v>
      </c>
      <c r="F64" t="s">
        <v>300</v>
      </c>
      <c r="I64" t="s">
        <v>16</v>
      </c>
      <c r="J64" t="s">
        <v>301</v>
      </c>
      <c r="K64" t="s">
        <v>302</v>
      </c>
      <c r="L64" t="s">
        <v>303</v>
      </c>
    </row>
    <row r="65" spans="1:12" x14ac:dyDescent="0.25">
      <c r="A65" t="s">
        <v>1174</v>
      </c>
      <c r="B65">
        <v>-12.9166666666666</v>
      </c>
      <c r="C65" s="2" t="s">
        <v>1175</v>
      </c>
      <c r="D65" t="s">
        <v>304</v>
      </c>
      <c r="E65" t="s">
        <v>305</v>
      </c>
      <c r="F65" t="s">
        <v>29</v>
      </c>
      <c r="I65" t="s">
        <v>16</v>
      </c>
      <c r="J65" t="s">
        <v>306</v>
      </c>
      <c r="K65" t="s">
        <v>307</v>
      </c>
      <c r="L65" t="s">
        <v>308</v>
      </c>
    </row>
    <row r="66" spans="1:12" x14ac:dyDescent="0.25">
      <c r="A66" t="s">
        <v>309</v>
      </c>
      <c r="B66" s="2" t="s">
        <v>1176</v>
      </c>
      <c r="C66">
        <v>28.15</v>
      </c>
      <c r="D66" t="s">
        <v>310</v>
      </c>
      <c r="E66" t="s">
        <v>311</v>
      </c>
      <c r="F66" t="s">
        <v>29</v>
      </c>
      <c r="G66" t="s">
        <v>312</v>
      </c>
      <c r="I66" t="s">
        <v>16</v>
      </c>
      <c r="J66" t="s">
        <v>313</v>
      </c>
      <c r="K66" t="s">
        <v>314</v>
      </c>
      <c r="L66" t="s">
        <v>315</v>
      </c>
    </row>
    <row r="67" spans="1:12" x14ac:dyDescent="0.25">
      <c r="A67" t="s">
        <v>316</v>
      </c>
      <c r="B67">
        <v>-12.5</v>
      </c>
      <c r="C67" s="2" t="s">
        <v>1177</v>
      </c>
      <c r="D67" t="s">
        <v>317</v>
      </c>
      <c r="E67" t="s">
        <v>318</v>
      </c>
      <c r="F67" t="s">
        <v>29</v>
      </c>
      <c r="I67" t="s">
        <v>16</v>
      </c>
      <c r="J67" t="s">
        <v>319</v>
      </c>
      <c r="K67" t="s">
        <v>250</v>
      </c>
      <c r="L67" t="s">
        <v>320</v>
      </c>
    </row>
    <row r="68" spans="1:12" x14ac:dyDescent="0.25">
      <c r="A68" t="s">
        <v>321</v>
      </c>
      <c r="B68">
        <v>-12.736666666666601</v>
      </c>
      <c r="C68" s="2" t="s">
        <v>1178</v>
      </c>
      <c r="D68" t="s">
        <v>322</v>
      </c>
      <c r="E68" t="s">
        <v>323</v>
      </c>
      <c r="F68" t="s">
        <v>29</v>
      </c>
      <c r="G68" t="s">
        <v>324</v>
      </c>
      <c r="I68" t="s">
        <v>16</v>
      </c>
      <c r="J68" t="s">
        <v>325</v>
      </c>
      <c r="K68" t="s">
        <v>326</v>
      </c>
      <c r="L68" t="s">
        <v>327</v>
      </c>
    </row>
    <row r="69" spans="1:12" x14ac:dyDescent="0.25">
      <c r="A69" t="s">
        <v>328</v>
      </c>
      <c r="B69">
        <v>-12.8</v>
      </c>
      <c r="C69" s="2" t="s">
        <v>1179</v>
      </c>
      <c r="D69" t="s">
        <v>329</v>
      </c>
      <c r="E69" t="s">
        <v>330</v>
      </c>
      <c r="F69" t="s">
        <v>29</v>
      </c>
      <c r="G69" t="s">
        <v>107</v>
      </c>
      <c r="I69" t="s">
        <v>16</v>
      </c>
      <c r="J69" t="s">
        <v>331</v>
      </c>
      <c r="K69" t="s">
        <v>332</v>
      </c>
      <c r="L69" t="s">
        <v>333</v>
      </c>
    </row>
    <row r="70" spans="1:12" x14ac:dyDescent="0.25">
      <c r="A70" t="s">
        <v>1180</v>
      </c>
      <c r="B70">
        <v>-12.803333333333301</v>
      </c>
      <c r="C70" s="2" t="s">
        <v>1181</v>
      </c>
      <c r="D70" t="s">
        <v>334</v>
      </c>
      <c r="E70" t="s">
        <v>335</v>
      </c>
      <c r="F70" t="s">
        <v>29</v>
      </c>
      <c r="I70" t="s">
        <v>17</v>
      </c>
      <c r="J70" t="s">
        <v>336</v>
      </c>
      <c r="K70" t="s">
        <v>337</v>
      </c>
      <c r="L70" t="s">
        <v>338</v>
      </c>
    </row>
    <row r="71" spans="1:12" x14ac:dyDescent="0.25">
      <c r="A71" t="s">
        <v>339</v>
      </c>
      <c r="B71">
        <v>-12.566666666666601</v>
      </c>
      <c r="C71" s="2" t="s">
        <v>1182</v>
      </c>
      <c r="D71" t="s">
        <v>310</v>
      </c>
      <c r="E71" t="s">
        <v>340</v>
      </c>
      <c r="F71" t="s">
        <v>29</v>
      </c>
      <c r="I71" t="s">
        <v>16</v>
      </c>
      <c r="J71" t="s">
        <v>341</v>
      </c>
      <c r="K71" t="s">
        <v>250</v>
      </c>
      <c r="L71" t="s">
        <v>342</v>
      </c>
    </row>
    <row r="72" spans="1:12" x14ac:dyDescent="0.25">
      <c r="A72" t="s">
        <v>343</v>
      </c>
      <c r="B72">
        <v>-12.8666666666666</v>
      </c>
      <c r="C72">
        <v>28.2</v>
      </c>
      <c r="D72" t="s">
        <v>344</v>
      </c>
      <c r="E72" t="s">
        <v>345</v>
      </c>
      <c r="F72" t="s">
        <v>29</v>
      </c>
      <c r="I72" t="s">
        <v>16</v>
      </c>
      <c r="J72" t="s">
        <v>346</v>
      </c>
      <c r="K72" t="s">
        <v>347</v>
      </c>
      <c r="L72" t="s">
        <v>348</v>
      </c>
    </row>
    <row r="73" spans="1:12" x14ac:dyDescent="0.25">
      <c r="A73" t="s">
        <v>349</v>
      </c>
      <c r="B73">
        <v>-12.42</v>
      </c>
      <c r="C73" s="2" t="s">
        <v>1183</v>
      </c>
      <c r="D73" t="s">
        <v>350</v>
      </c>
      <c r="E73" t="s">
        <v>351</v>
      </c>
      <c r="F73" t="s">
        <v>29</v>
      </c>
      <c r="G73" t="s">
        <v>107</v>
      </c>
      <c r="I73" t="s">
        <v>17</v>
      </c>
      <c r="J73" t="s">
        <v>352</v>
      </c>
      <c r="K73" t="s">
        <v>250</v>
      </c>
      <c r="L73" t="s">
        <v>353</v>
      </c>
    </row>
    <row r="74" spans="1:12" x14ac:dyDescent="0.25">
      <c r="A74" t="s">
        <v>354</v>
      </c>
      <c r="B74">
        <v>-12.566666666666601</v>
      </c>
      <c r="C74" s="2" t="s">
        <v>1184</v>
      </c>
      <c r="D74" t="s">
        <v>355</v>
      </c>
      <c r="E74" t="s">
        <v>356</v>
      </c>
      <c r="F74" t="s">
        <v>89</v>
      </c>
      <c r="I74" t="s">
        <v>16</v>
      </c>
      <c r="J74" t="s">
        <v>90</v>
      </c>
      <c r="K74" t="s">
        <v>357</v>
      </c>
      <c r="L74" t="s">
        <v>358</v>
      </c>
    </row>
    <row r="75" spans="1:12" x14ac:dyDescent="0.25">
      <c r="A75" t="s">
        <v>359</v>
      </c>
      <c r="B75">
        <v>-12.6666666666666</v>
      </c>
      <c r="C75" s="2" t="s">
        <v>1135</v>
      </c>
      <c r="D75" t="s">
        <v>360</v>
      </c>
      <c r="E75" t="s">
        <v>361</v>
      </c>
      <c r="F75" t="s">
        <v>15</v>
      </c>
      <c r="I75" t="s">
        <v>16</v>
      </c>
      <c r="J75" t="s">
        <v>23</v>
      </c>
      <c r="K75" t="s">
        <v>362</v>
      </c>
      <c r="L75" t="s">
        <v>363</v>
      </c>
    </row>
    <row r="76" spans="1:12" x14ac:dyDescent="0.25">
      <c r="A76" t="s">
        <v>364</v>
      </c>
      <c r="B76">
        <v>-12.5</v>
      </c>
      <c r="C76" s="2" t="s">
        <v>1185</v>
      </c>
      <c r="D76" t="s">
        <v>365</v>
      </c>
      <c r="E76" t="s">
        <v>366</v>
      </c>
      <c r="F76" t="s">
        <v>39</v>
      </c>
      <c r="I76" t="s">
        <v>16</v>
      </c>
      <c r="J76" t="s">
        <v>367</v>
      </c>
      <c r="K76" t="s">
        <v>114</v>
      </c>
      <c r="L76" t="s">
        <v>368</v>
      </c>
    </row>
    <row r="77" spans="1:12" x14ac:dyDescent="0.25">
      <c r="A77" t="s">
        <v>369</v>
      </c>
      <c r="B77">
        <v>-12.9202777777777</v>
      </c>
      <c r="C77" s="2" t="s">
        <v>1148</v>
      </c>
      <c r="D77" t="s">
        <v>370</v>
      </c>
      <c r="E77" t="s">
        <v>371</v>
      </c>
      <c r="F77" t="s">
        <v>15</v>
      </c>
      <c r="I77" t="s">
        <v>16</v>
      </c>
      <c r="J77" t="s">
        <v>372</v>
      </c>
      <c r="K77" t="s">
        <v>373</v>
      </c>
      <c r="L77" t="s">
        <v>374</v>
      </c>
    </row>
    <row r="78" spans="1:12" x14ac:dyDescent="0.25">
      <c r="A78" t="s">
        <v>375</v>
      </c>
      <c r="B78">
        <v>-12.4166666666666</v>
      </c>
      <c r="C78" s="2" t="s">
        <v>1186</v>
      </c>
      <c r="D78" t="s">
        <v>376</v>
      </c>
      <c r="E78" t="s">
        <v>377</v>
      </c>
      <c r="F78" t="s">
        <v>378</v>
      </c>
      <c r="G78" t="s">
        <v>379</v>
      </c>
      <c r="H78" t="s">
        <v>380</v>
      </c>
      <c r="I78" t="s">
        <v>381</v>
      </c>
      <c r="J78" t="s">
        <v>17</v>
      </c>
      <c r="K78" t="s">
        <v>382</v>
      </c>
      <c r="L78" t="s">
        <v>383</v>
      </c>
    </row>
    <row r="79" spans="1:12" x14ac:dyDescent="0.25">
      <c r="A79" t="s">
        <v>384</v>
      </c>
      <c r="B79">
        <v>-12.0036111111111</v>
      </c>
      <c r="C79" s="2" t="s">
        <v>1187</v>
      </c>
      <c r="D79" t="s">
        <v>385</v>
      </c>
      <c r="E79" t="s">
        <v>386</v>
      </c>
      <c r="F79" t="s">
        <v>387</v>
      </c>
      <c r="G79" t="s">
        <v>388</v>
      </c>
      <c r="H79" t="s">
        <v>389</v>
      </c>
      <c r="I79" t="s">
        <v>381</v>
      </c>
      <c r="J79" t="s">
        <v>390</v>
      </c>
      <c r="K79" t="s">
        <v>391</v>
      </c>
      <c r="L79" t="s">
        <v>392</v>
      </c>
    </row>
    <row r="80" spans="1:12" x14ac:dyDescent="0.25">
      <c r="A80" t="s">
        <v>393</v>
      </c>
      <c r="B80">
        <v>-12.2</v>
      </c>
      <c r="C80" s="2" t="s">
        <v>1188</v>
      </c>
      <c r="D80" t="s">
        <v>394</v>
      </c>
      <c r="E80" t="s">
        <v>395</v>
      </c>
      <c r="F80" t="s">
        <v>15</v>
      </c>
      <c r="I80" t="s">
        <v>16</v>
      </c>
      <c r="J80" t="s">
        <v>72</v>
      </c>
      <c r="K80" t="s">
        <v>396</v>
      </c>
      <c r="L80" t="s">
        <v>397</v>
      </c>
    </row>
    <row r="81" spans="1:12" x14ac:dyDescent="0.25">
      <c r="A81" t="e">
        <f>-SIDZA</f>
        <v>#NAME?</v>
      </c>
      <c r="B81">
        <v>-12.5833333333333</v>
      </c>
      <c r="C81">
        <v>32.75</v>
      </c>
      <c r="D81" t="s">
        <v>384</v>
      </c>
      <c r="E81" t="s">
        <v>398</v>
      </c>
      <c r="F81" t="s">
        <v>60</v>
      </c>
      <c r="G81" t="s">
        <v>388</v>
      </c>
      <c r="I81" t="s">
        <v>16</v>
      </c>
      <c r="J81" t="s">
        <v>399</v>
      </c>
      <c r="K81" t="s">
        <v>400</v>
      </c>
      <c r="L81" t="s">
        <v>401</v>
      </c>
    </row>
    <row r="82" spans="1:12" x14ac:dyDescent="0.25">
      <c r="A82" t="s">
        <v>402</v>
      </c>
      <c r="B82">
        <v>-12.5833333333333</v>
      </c>
      <c r="C82" s="2" t="s">
        <v>1186</v>
      </c>
      <c r="D82" t="s">
        <v>403</v>
      </c>
      <c r="E82" t="s">
        <v>404</v>
      </c>
      <c r="F82" t="s">
        <v>39</v>
      </c>
      <c r="I82" t="s">
        <v>16</v>
      </c>
      <c r="J82" t="s">
        <v>23</v>
      </c>
      <c r="K82" t="s">
        <v>405</v>
      </c>
      <c r="L82" t="s">
        <v>406</v>
      </c>
    </row>
    <row r="83" spans="1:12" x14ac:dyDescent="0.25">
      <c r="A83" t="s">
        <v>407</v>
      </c>
      <c r="B83">
        <v>-12.9166666666666</v>
      </c>
      <c r="C83" s="2" t="s">
        <v>1189</v>
      </c>
      <c r="D83" t="s">
        <v>408</v>
      </c>
      <c r="E83" t="s">
        <v>409</v>
      </c>
      <c r="F83" t="s">
        <v>15</v>
      </c>
      <c r="I83" t="s">
        <v>16</v>
      </c>
      <c r="J83" t="s">
        <v>72</v>
      </c>
      <c r="K83" t="s">
        <v>410</v>
      </c>
      <c r="L83" t="s">
        <v>411</v>
      </c>
    </row>
    <row r="84" spans="1:12" x14ac:dyDescent="0.25">
      <c r="A84" t="s">
        <v>412</v>
      </c>
      <c r="B84">
        <v>-12.8666666666666</v>
      </c>
      <c r="C84" s="2" t="s">
        <v>1190</v>
      </c>
      <c r="D84" t="s">
        <v>413</v>
      </c>
      <c r="E84" t="s">
        <v>414</v>
      </c>
      <c r="F84" t="s">
        <v>60</v>
      </c>
      <c r="G84" t="s">
        <v>29</v>
      </c>
      <c r="I84" t="s">
        <v>16</v>
      </c>
      <c r="J84" t="s">
        <v>90</v>
      </c>
      <c r="K84" t="s">
        <v>415</v>
      </c>
      <c r="L84" t="s">
        <v>416</v>
      </c>
    </row>
    <row r="85" spans="1:12" x14ac:dyDescent="0.25">
      <c r="A85" t="s">
        <v>417</v>
      </c>
      <c r="B85">
        <v>-12.2</v>
      </c>
      <c r="C85" s="2" t="s">
        <v>1191</v>
      </c>
      <c r="D85" t="s">
        <v>418</v>
      </c>
      <c r="E85" t="s">
        <v>419</v>
      </c>
      <c r="F85" t="s">
        <v>420</v>
      </c>
      <c r="G85" t="s">
        <v>388</v>
      </c>
      <c r="H85" t="s">
        <v>193</v>
      </c>
      <c r="I85" t="s">
        <v>17</v>
      </c>
      <c r="J85" t="s">
        <v>17</v>
      </c>
      <c r="K85" t="s">
        <v>421</v>
      </c>
      <c r="L85" t="s">
        <v>422</v>
      </c>
    </row>
    <row r="86" spans="1:12" x14ac:dyDescent="0.25">
      <c r="A86" t="s">
        <v>423</v>
      </c>
      <c r="B86">
        <v>-11.5</v>
      </c>
      <c r="C86" s="2" t="s">
        <v>1192</v>
      </c>
      <c r="D86" t="s">
        <v>424</v>
      </c>
      <c r="E86" t="s">
        <v>425</v>
      </c>
      <c r="F86" t="s">
        <v>378</v>
      </c>
      <c r="G86" t="s">
        <v>388</v>
      </c>
      <c r="H86" t="s">
        <v>82</v>
      </c>
      <c r="I86" t="s">
        <v>17</v>
      </c>
      <c r="J86" t="s">
        <v>17</v>
      </c>
      <c r="K86" t="s">
        <v>426</v>
      </c>
      <c r="L86" t="s">
        <v>427</v>
      </c>
    </row>
    <row r="87" spans="1:12" x14ac:dyDescent="0.25">
      <c r="A87" t="s">
        <v>428</v>
      </c>
      <c r="B87" s="2" t="s">
        <v>1193</v>
      </c>
      <c r="C87" s="2" t="s">
        <v>1194</v>
      </c>
      <c r="D87" t="s">
        <v>429</v>
      </c>
      <c r="E87" t="s">
        <v>430</v>
      </c>
      <c r="F87" t="s">
        <v>15</v>
      </c>
      <c r="I87" t="s">
        <v>16</v>
      </c>
      <c r="J87" t="s">
        <v>72</v>
      </c>
      <c r="K87" t="s">
        <v>431</v>
      </c>
      <c r="L87" t="s">
        <v>432</v>
      </c>
    </row>
    <row r="88" spans="1:12" x14ac:dyDescent="0.25">
      <c r="A88" t="s">
        <v>433</v>
      </c>
      <c r="B88">
        <v>-13.8372222222222</v>
      </c>
      <c r="C88" s="2" t="s">
        <v>1195</v>
      </c>
      <c r="D88" t="s">
        <v>434</v>
      </c>
      <c r="E88" t="s">
        <v>435</v>
      </c>
      <c r="F88" t="s">
        <v>15</v>
      </c>
      <c r="G88" t="s">
        <v>29</v>
      </c>
      <c r="I88" t="s">
        <v>16</v>
      </c>
      <c r="J88" t="s">
        <v>17</v>
      </c>
      <c r="K88" t="s">
        <v>18</v>
      </c>
      <c r="L88" t="s">
        <v>436</v>
      </c>
    </row>
    <row r="89" spans="1:12" x14ac:dyDescent="0.25">
      <c r="A89" t="s">
        <v>437</v>
      </c>
      <c r="B89">
        <v>-13.533333333333299</v>
      </c>
      <c r="C89" s="2" t="s">
        <v>1196</v>
      </c>
      <c r="D89" t="s">
        <v>438</v>
      </c>
      <c r="E89" t="s">
        <v>439</v>
      </c>
      <c r="F89" t="s">
        <v>29</v>
      </c>
      <c r="I89" t="s">
        <v>16</v>
      </c>
      <c r="J89" t="s">
        <v>72</v>
      </c>
      <c r="K89" t="s">
        <v>440</v>
      </c>
      <c r="L89" t="s">
        <v>441</v>
      </c>
    </row>
    <row r="90" spans="1:12" x14ac:dyDescent="0.25">
      <c r="A90" t="s">
        <v>442</v>
      </c>
      <c r="B90">
        <v>-13.9333333333333</v>
      </c>
      <c r="C90" s="2" t="s">
        <v>1197</v>
      </c>
      <c r="D90" t="s">
        <v>443</v>
      </c>
      <c r="E90" t="s">
        <v>444</v>
      </c>
      <c r="F90" t="s">
        <v>29</v>
      </c>
      <c r="G90" t="s">
        <v>60</v>
      </c>
      <c r="I90" t="s">
        <v>16</v>
      </c>
      <c r="J90" t="s">
        <v>90</v>
      </c>
      <c r="K90" t="s">
        <v>445</v>
      </c>
      <c r="L90" t="s">
        <v>446</v>
      </c>
    </row>
    <row r="91" spans="1:12" x14ac:dyDescent="0.25">
      <c r="A91" t="s">
        <v>447</v>
      </c>
      <c r="B91">
        <v>-13.9</v>
      </c>
      <c r="C91" s="2" t="s">
        <v>1198</v>
      </c>
      <c r="D91" t="s">
        <v>438</v>
      </c>
      <c r="E91" t="s">
        <v>448</v>
      </c>
      <c r="F91" t="s">
        <v>29</v>
      </c>
      <c r="G91" t="s">
        <v>60</v>
      </c>
      <c r="I91" t="s">
        <v>16</v>
      </c>
      <c r="J91" t="s">
        <v>23</v>
      </c>
      <c r="K91" t="s">
        <v>449</v>
      </c>
      <c r="L91" t="s">
        <v>450</v>
      </c>
    </row>
    <row r="92" spans="1:12" x14ac:dyDescent="0.25">
      <c r="A92" t="s">
        <v>451</v>
      </c>
      <c r="B92">
        <v>-13.9166666666666</v>
      </c>
      <c r="C92" s="2" t="s">
        <v>1199</v>
      </c>
      <c r="D92" t="s">
        <v>438</v>
      </c>
      <c r="E92" t="s">
        <v>452</v>
      </c>
      <c r="F92" t="s">
        <v>29</v>
      </c>
      <c r="G92" t="s">
        <v>60</v>
      </c>
      <c r="I92" t="s">
        <v>16</v>
      </c>
      <c r="J92" t="s">
        <v>23</v>
      </c>
      <c r="K92" t="s">
        <v>453</v>
      </c>
      <c r="L92" t="s">
        <v>454</v>
      </c>
    </row>
    <row r="93" spans="1:12" x14ac:dyDescent="0.25">
      <c r="A93" t="s">
        <v>455</v>
      </c>
      <c r="B93">
        <v>-13.9333333333333</v>
      </c>
      <c r="C93" s="2" t="s">
        <v>1196</v>
      </c>
      <c r="D93" t="s">
        <v>456</v>
      </c>
      <c r="E93" t="s">
        <v>457</v>
      </c>
      <c r="F93" t="s">
        <v>29</v>
      </c>
      <c r="I93" t="s">
        <v>16</v>
      </c>
      <c r="J93" t="s">
        <v>23</v>
      </c>
      <c r="K93" t="s">
        <v>458</v>
      </c>
      <c r="L93" t="s">
        <v>459</v>
      </c>
    </row>
    <row r="94" spans="1:12" x14ac:dyDescent="0.25">
      <c r="A94" t="s">
        <v>460</v>
      </c>
      <c r="B94">
        <v>-25</v>
      </c>
      <c r="C94" s="2" t="s">
        <v>1200</v>
      </c>
      <c r="D94" t="s">
        <v>438</v>
      </c>
      <c r="E94" t="s">
        <v>461</v>
      </c>
      <c r="F94" t="s">
        <v>29</v>
      </c>
      <c r="G94" t="s">
        <v>462</v>
      </c>
      <c r="I94" t="s">
        <v>16</v>
      </c>
      <c r="J94" t="s">
        <v>463</v>
      </c>
      <c r="K94" t="s">
        <v>464</v>
      </c>
      <c r="L94" t="s">
        <v>465</v>
      </c>
    </row>
    <row r="95" spans="1:12" x14ac:dyDescent="0.25">
      <c r="A95" t="s">
        <v>466</v>
      </c>
      <c r="B95">
        <v>-13.2536111111111</v>
      </c>
      <c r="C95" s="2" t="s">
        <v>1201</v>
      </c>
      <c r="D95" t="s">
        <v>467</v>
      </c>
      <c r="E95" t="s">
        <v>468</v>
      </c>
      <c r="F95" t="s">
        <v>15</v>
      </c>
      <c r="G95" t="s">
        <v>29</v>
      </c>
      <c r="I95" t="s">
        <v>16</v>
      </c>
      <c r="J95" t="s">
        <v>17</v>
      </c>
      <c r="K95" t="s">
        <v>18</v>
      </c>
      <c r="L95" t="s">
        <v>469</v>
      </c>
    </row>
    <row r="96" spans="1:12" x14ac:dyDescent="0.25">
      <c r="A96" t="s">
        <v>470</v>
      </c>
      <c r="B96">
        <v>-13.503888888888801</v>
      </c>
      <c r="C96" s="2" t="s">
        <v>1202</v>
      </c>
      <c r="D96" t="s">
        <v>471</v>
      </c>
      <c r="E96" t="s">
        <v>472</v>
      </c>
      <c r="F96" t="s">
        <v>388</v>
      </c>
      <c r="I96" t="s">
        <v>16</v>
      </c>
      <c r="J96" t="s">
        <v>72</v>
      </c>
      <c r="K96" t="s">
        <v>391</v>
      </c>
      <c r="L96" t="s">
        <v>473</v>
      </c>
    </row>
    <row r="97" spans="1:12" x14ac:dyDescent="0.25">
      <c r="A97" t="s">
        <v>474</v>
      </c>
      <c r="B97">
        <v>-13.883333333333301</v>
      </c>
      <c r="C97" s="2" t="s">
        <v>1203</v>
      </c>
      <c r="D97" t="s">
        <v>475</v>
      </c>
      <c r="E97" t="s">
        <v>476</v>
      </c>
      <c r="F97" t="s">
        <v>29</v>
      </c>
      <c r="I97" t="s">
        <v>16</v>
      </c>
      <c r="J97" t="s">
        <v>23</v>
      </c>
      <c r="K97" t="s">
        <v>160</v>
      </c>
      <c r="L97" t="s">
        <v>477</v>
      </c>
    </row>
    <row r="98" spans="1:12" x14ac:dyDescent="0.25">
      <c r="A98" t="s">
        <v>478</v>
      </c>
      <c r="B98">
        <v>-13.65</v>
      </c>
      <c r="C98">
        <v>24.7</v>
      </c>
      <c r="D98" t="s">
        <v>438</v>
      </c>
      <c r="E98" t="s">
        <v>479</v>
      </c>
      <c r="F98" t="s">
        <v>29</v>
      </c>
      <c r="G98" t="s">
        <v>462</v>
      </c>
      <c r="I98" t="s">
        <v>16</v>
      </c>
      <c r="J98" t="s">
        <v>480</v>
      </c>
      <c r="K98" t="s">
        <v>464</v>
      </c>
      <c r="L98" t="s">
        <v>481</v>
      </c>
    </row>
    <row r="99" spans="1:12" x14ac:dyDescent="0.25">
      <c r="A99" t="s">
        <v>437</v>
      </c>
      <c r="B99">
        <v>-13.533333333333299</v>
      </c>
      <c r="C99" s="2" t="s">
        <v>1196</v>
      </c>
      <c r="D99" t="s">
        <v>438</v>
      </c>
      <c r="E99" t="s">
        <v>439</v>
      </c>
      <c r="F99" t="s">
        <v>29</v>
      </c>
      <c r="I99" t="s">
        <v>16</v>
      </c>
      <c r="J99" t="s">
        <v>72</v>
      </c>
      <c r="K99" t="s">
        <v>440</v>
      </c>
      <c r="L99" t="s">
        <v>441</v>
      </c>
    </row>
    <row r="100" spans="1:12" x14ac:dyDescent="0.25">
      <c r="A100" t="s">
        <v>442</v>
      </c>
      <c r="B100">
        <v>-13.9333333333333</v>
      </c>
      <c r="C100" s="2" t="s">
        <v>1197</v>
      </c>
      <c r="D100" t="s">
        <v>443</v>
      </c>
      <c r="E100" t="s">
        <v>444</v>
      </c>
      <c r="F100" t="s">
        <v>29</v>
      </c>
      <c r="G100" t="s">
        <v>482</v>
      </c>
      <c r="I100" t="s">
        <v>16</v>
      </c>
      <c r="J100" t="s">
        <v>90</v>
      </c>
      <c r="K100" t="s">
        <v>445</v>
      </c>
      <c r="L100" t="s">
        <v>446</v>
      </c>
    </row>
    <row r="101" spans="1:12" x14ac:dyDescent="0.25">
      <c r="A101" t="s">
        <v>447</v>
      </c>
      <c r="B101">
        <v>-13.9</v>
      </c>
      <c r="C101" s="2" t="s">
        <v>1198</v>
      </c>
      <c r="D101" t="s">
        <v>438</v>
      </c>
      <c r="E101" t="s">
        <v>448</v>
      </c>
      <c r="F101" t="s">
        <v>29</v>
      </c>
      <c r="G101" t="s">
        <v>60</v>
      </c>
      <c r="I101" t="s">
        <v>16</v>
      </c>
      <c r="J101" t="s">
        <v>23</v>
      </c>
      <c r="K101" t="s">
        <v>449</v>
      </c>
      <c r="L101" t="s">
        <v>483</v>
      </c>
    </row>
    <row r="102" spans="1:12" x14ac:dyDescent="0.25">
      <c r="A102" t="s">
        <v>451</v>
      </c>
      <c r="B102">
        <v>-13.9166666666666</v>
      </c>
      <c r="C102" s="2" t="s">
        <v>1199</v>
      </c>
      <c r="D102" t="s">
        <v>438</v>
      </c>
      <c r="E102" t="s">
        <v>452</v>
      </c>
      <c r="F102" t="s">
        <v>29</v>
      </c>
      <c r="G102" t="s">
        <v>60</v>
      </c>
      <c r="I102" t="s">
        <v>16</v>
      </c>
      <c r="J102" t="s">
        <v>23</v>
      </c>
      <c r="K102" t="s">
        <v>453</v>
      </c>
      <c r="L102" t="s">
        <v>454</v>
      </c>
    </row>
    <row r="103" spans="1:12" x14ac:dyDescent="0.25">
      <c r="A103" t="s">
        <v>455</v>
      </c>
      <c r="B103">
        <v>-13.9333333333333</v>
      </c>
      <c r="C103" s="2" t="s">
        <v>1196</v>
      </c>
      <c r="D103" t="s">
        <v>456</v>
      </c>
      <c r="E103" t="s">
        <v>457</v>
      </c>
      <c r="F103" t="s">
        <v>29</v>
      </c>
      <c r="I103" t="s">
        <v>16</v>
      </c>
      <c r="J103" t="s">
        <v>23</v>
      </c>
      <c r="K103" t="s">
        <v>458</v>
      </c>
      <c r="L103" t="s">
        <v>484</v>
      </c>
    </row>
    <row r="104" spans="1:12" x14ac:dyDescent="0.25">
      <c r="A104" t="s">
        <v>460</v>
      </c>
      <c r="B104">
        <v>-25</v>
      </c>
      <c r="C104" s="2" t="s">
        <v>1200</v>
      </c>
      <c r="D104" t="s">
        <v>438</v>
      </c>
      <c r="E104" t="s">
        <v>461</v>
      </c>
      <c r="F104" t="s">
        <v>29</v>
      </c>
      <c r="G104" t="s">
        <v>462</v>
      </c>
      <c r="I104" t="s">
        <v>16</v>
      </c>
      <c r="J104" t="s">
        <v>485</v>
      </c>
      <c r="K104" t="s">
        <v>464</v>
      </c>
      <c r="L104" t="s">
        <v>486</v>
      </c>
    </row>
    <row r="105" spans="1:12" x14ac:dyDescent="0.25">
      <c r="A105" t="s">
        <v>466</v>
      </c>
      <c r="B105">
        <v>-13.2536111111111</v>
      </c>
      <c r="C105" s="2" t="s">
        <v>1201</v>
      </c>
      <c r="D105" t="s">
        <v>467</v>
      </c>
      <c r="E105" t="s">
        <v>468</v>
      </c>
      <c r="F105" t="s">
        <v>15</v>
      </c>
      <c r="G105" t="s">
        <v>29</v>
      </c>
      <c r="I105" t="s">
        <v>16</v>
      </c>
      <c r="J105" t="s">
        <v>17</v>
      </c>
      <c r="K105" t="s">
        <v>18</v>
      </c>
      <c r="L105" t="s">
        <v>487</v>
      </c>
    </row>
    <row r="106" spans="1:12" x14ac:dyDescent="0.25">
      <c r="A106" t="s">
        <v>470</v>
      </c>
      <c r="B106">
        <v>-13.503888888888801</v>
      </c>
      <c r="C106" s="2" t="s">
        <v>1202</v>
      </c>
      <c r="D106" t="s">
        <v>471</v>
      </c>
      <c r="E106" t="s">
        <v>472</v>
      </c>
      <c r="F106" t="s">
        <v>488</v>
      </c>
      <c r="I106" t="s">
        <v>16</v>
      </c>
      <c r="J106" t="s">
        <v>72</v>
      </c>
      <c r="K106" t="s">
        <v>391</v>
      </c>
      <c r="L106" t="s">
        <v>473</v>
      </c>
    </row>
    <row r="107" spans="1:12" x14ac:dyDescent="0.25">
      <c r="A107" t="s">
        <v>474</v>
      </c>
      <c r="B107">
        <v>-13.883333333333301</v>
      </c>
      <c r="C107" s="2" t="s">
        <v>1203</v>
      </c>
      <c r="D107" t="s">
        <v>475</v>
      </c>
      <c r="E107" t="s">
        <v>476</v>
      </c>
      <c r="F107" t="s">
        <v>29</v>
      </c>
      <c r="I107" t="s">
        <v>16</v>
      </c>
      <c r="J107" t="s">
        <v>23</v>
      </c>
      <c r="K107" t="s">
        <v>160</v>
      </c>
      <c r="L107" t="s">
        <v>489</v>
      </c>
    </row>
    <row r="108" spans="1:12" x14ac:dyDescent="0.25">
      <c r="A108" t="s">
        <v>490</v>
      </c>
      <c r="B108">
        <v>-130</v>
      </c>
      <c r="C108">
        <v>25.7</v>
      </c>
      <c r="D108" t="s">
        <v>491</v>
      </c>
      <c r="E108" t="s">
        <v>492</v>
      </c>
      <c r="F108" t="s">
        <v>29</v>
      </c>
      <c r="I108" t="s">
        <v>16</v>
      </c>
      <c r="J108" t="s">
        <v>23</v>
      </c>
      <c r="K108" t="s">
        <v>493</v>
      </c>
      <c r="L108" t="s">
        <v>494</v>
      </c>
    </row>
    <row r="109" spans="1:12" x14ac:dyDescent="0.25">
      <c r="A109" t="s">
        <v>495</v>
      </c>
      <c r="B109">
        <v>-13.003888888888801</v>
      </c>
      <c r="C109" s="2" t="s">
        <v>1204</v>
      </c>
      <c r="D109" t="s">
        <v>496</v>
      </c>
      <c r="E109" t="s">
        <v>497</v>
      </c>
      <c r="F109" t="s">
        <v>39</v>
      </c>
      <c r="I109" t="s">
        <v>16</v>
      </c>
      <c r="J109" t="s">
        <v>498</v>
      </c>
      <c r="K109" t="s">
        <v>114</v>
      </c>
      <c r="L109" t="s">
        <v>499</v>
      </c>
    </row>
    <row r="110" spans="1:12" x14ac:dyDescent="0.25">
      <c r="A110" t="s">
        <v>500</v>
      </c>
      <c r="B110">
        <v>-13.5</v>
      </c>
      <c r="C110" s="2" t="s">
        <v>1205</v>
      </c>
      <c r="D110" t="s">
        <v>438</v>
      </c>
      <c r="E110" t="s">
        <v>501</v>
      </c>
      <c r="F110" t="s">
        <v>29</v>
      </c>
      <c r="I110" t="s">
        <v>16</v>
      </c>
      <c r="J110" t="s">
        <v>72</v>
      </c>
      <c r="K110" t="s">
        <v>502</v>
      </c>
      <c r="L110" t="s">
        <v>296</v>
      </c>
    </row>
    <row r="111" spans="1:12" x14ac:dyDescent="0.25">
      <c r="A111" t="s">
        <v>478</v>
      </c>
      <c r="B111">
        <v>-27</v>
      </c>
      <c r="C111">
        <v>25</v>
      </c>
      <c r="D111" t="s">
        <v>503</v>
      </c>
      <c r="E111" t="s">
        <v>504</v>
      </c>
      <c r="F111" t="s">
        <v>505</v>
      </c>
      <c r="G111" t="s">
        <v>29</v>
      </c>
      <c r="I111" t="s">
        <v>16</v>
      </c>
      <c r="J111" t="s">
        <v>16</v>
      </c>
      <c r="K111" t="s">
        <v>506</v>
      </c>
      <c r="L111" t="s">
        <v>507</v>
      </c>
    </row>
    <row r="112" spans="1:12" x14ac:dyDescent="0.25">
      <c r="A112" t="s">
        <v>508</v>
      </c>
      <c r="B112">
        <v>-13530</v>
      </c>
      <c r="C112">
        <v>25.25</v>
      </c>
      <c r="D112" t="s">
        <v>509</v>
      </c>
      <c r="E112" t="s">
        <v>510</v>
      </c>
      <c r="F112" t="s">
        <v>39</v>
      </c>
      <c r="I112" t="s">
        <v>16</v>
      </c>
      <c r="J112" t="s">
        <v>17</v>
      </c>
      <c r="K112" t="s">
        <v>511</v>
      </c>
      <c r="L112" t="s">
        <v>512</v>
      </c>
    </row>
    <row r="113" spans="1:12" x14ac:dyDescent="0.25">
      <c r="A113" t="s">
        <v>513</v>
      </c>
      <c r="B113">
        <v>-13.3333333333333</v>
      </c>
      <c r="C113">
        <v>25.1</v>
      </c>
      <c r="D113" t="s">
        <v>514</v>
      </c>
      <c r="E113" t="s">
        <v>515</v>
      </c>
      <c r="F113" t="s">
        <v>29</v>
      </c>
      <c r="I113" t="s">
        <v>16</v>
      </c>
      <c r="J113" t="s">
        <v>72</v>
      </c>
      <c r="K113" t="s">
        <v>516</v>
      </c>
      <c r="L113" t="s">
        <v>517</v>
      </c>
    </row>
    <row r="114" spans="1:12" x14ac:dyDescent="0.25">
      <c r="A114" t="s">
        <v>518</v>
      </c>
      <c r="B114">
        <v>-13.4333333333333</v>
      </c>
      <c r="C114" s="2" t="s">
        <v>1206</v>
      </c>
      <c r="D114" t="s">
        <v>438</v>
      </c>
      <c r="E114" t="s">
        <v>519</v>
      </c>
      <c r="F114" t="s">
        <v>29</v>
      </c>
      <c r="I114" t="s">
        <v>16</v>
      </c>
      <c r="J114" t="s">
        <v>520</v>
      </c>
      <c r="K114" t="s">
        <v>521</v>
      </c>
      <c r="L114" t="s">
        <v>296</v>
      </c>
    </row>
    <row r="115" spans="1:12" x14ac:dyDescent="0.25">
      <c r="A115" t="s">
        <v>522</v>
      </c>
      <c r="B115">
        <v>-13.0036111111111</v>
      </c>
      <c r="C115" s="2" t="s">
        <v>1207</v>
      </c>
      <c r="D115" t="s">
        <v>523</v>
      </c>
      <c r="E115" t="s">
        <v>524</v>
      </c>
      <c r="F115" t="s">
        <v>15</v>
      </c>
      <c r="G115" t="s">
        <v>29</v>
      </c>
      <c r="I115" t="s">
        <v>16</v>
      </c>
      <c r="J115" t="s">
        <v>23</v>
      </c>
      <c r="K115" t="s">
        <v>525</v>
      </c>
      <c r="L115" t="s">
        <v>526</v>
      </c>
    </row>
    <row r="116" spans="1:12" x14ac:dyDescent="0.25">
      <c r="A116" t="s">
        <v>527</v>
      </c>
      <c r="B116">
        <v>-13.816666666666601</v>
      </c>
      <c r="C116" s="2" t="s">
        <v>1208</v>
      </c>
      <c r="D116" t="s">
        <v>528</v>
      </c>
      <c r="E116" t="s">
        <v>529</v>
      </c>
      <c r="F116" t="s">
        <v>29</v>
      </c>
      <c r="G116" t="s">
        <v>482</v>
      </c>
      <c r="I116" t="s">
        <v>16</v>
      </c>
      <c r="J116" t="s">
        <v>90</v>
      </c>
      <c r="K116" t="s">
        <v>445</v>
      </c>
      <c r="L116" t="s">
        <v>446</v>
      </c>
    </row>
    <row r="117" spans="1:12" x14ac:dyDescent="0.25">
      <c r="A117" t="s">
        <v>530</v>
      </c>
      <c r="B117" s="2" t="s">
        <v>1209</v>
      </c>
      <c r="C117" s="2" t="s">
        <v>1198</v>
      </c>
      <c r="D117" t="s">
        <v>443</v>
      </c>
      <c r="E117" t="s">
        <v>531</v>
      </c>
      <c r="F117" t="s">
        <v>29</v>
      </c>
      <c r="G117" t="s">
        <v>482</v>
      </c>
      <c r="I117" t="s">
        <v>16</v>
      </c>
      <c r="J117" t="s">
        <v>90</v>
      </c>
      <c r="K117" t="s">
        <v>445</v>
      </c>
      <c r="L117" t="s">
        <v>446</v>
      </c>
    </row>
    <row r="118" spans="1:12" x14ac:dyDescent="0.25">
      <c r="A118" t="s">
        <v>532</v>
      </c>
      <c r="B118">
        <v>-13.066666666666601</v>
      </c>
      <c r="C118" s="2" t="s">
        <v>1210</v>
      </c>
      <c r="D118" t="s">
        <v>533</v>
      </c>
      <c r="E118" t="s">
        <v>534</v>
      </c>
      <c r="F118" t="s">
        <v>535</v>
      </c>
      <c r="G118" t="s">
        <v>60</v>
      </c>
      <c r="H118" t="s">
        <v>462</v>
      </c>
      <c r="I118" t="s">
        <v>16</v>
      </c>
      <c r="J118" t="s">
        <v>16</v>
      </c>
      <c r="K118" t="s">
        <v>90</v>
      </c>
      <c r="L118" t="s">
        <v>536</v>
      </c>
    </row>
    <row r="119" spans="1:12" x14ac:dyDescent="0.25">
      <c r="A119" t="s">
        <v>537</v>
      </c>
      <c r="B119">
        <v>-13.783333333333299</v>
      </c>
      <c r="C119">
        <v>26.5</v>
      </c>
      <c r="D119" t="s">
        <v>538</v>
      </c>
      <c r="E119" t="s">
        <v>539</v>
      </c>
      <c r="F119" t="s">
        <v>29</v>
      </c>
      <c r="I119" t="s">
        <v>16</v>
      </c>
      <c r="J119" t="s">
        <v>23</v>
      </c>
      <c r="K119" t="s">
        <v>494</v>
      </c>
      <c r="L119" t="s">
        <v>174</v>
      </c>
    </row>
    <row r="120" spans="1:12" x14ac:dyDescent="0.25">
      <c r="A120" t="s">
        <v>540</v>
      </c>
      <c r="B120">
        <v>-13.7</v>
      </c>
      <c r="C120">
        <v>26.7</v>
      </c>
      <c r="D120" t="s">
        <v>541</v>
      </c>
      <c r="E120" t="s">
        <v>542</v>
      </c>
      <c r="F120" t="s">
        <v>29</v>
      </c>
      <c r="I120" t="s">
        <v>16</v>
      </c>
      <c r="J120" t="s">
        <v>90</v>
      </c>
      <c r="K120" t="s">
        <v>543</v>
      </c>
      <c r="L120" t="s">
        <v>544</v>
      </c>
    </row>
    <row r="121" spans="1:12" x14ac:dyDescent="0.25">
      <c r="A121" t="s">
        <v>545</v>
      </c>
      <c r="B121">
        <v>-13.503888888888801</v>
      </c>
      <c r="C121">
        <v>26.2575</v>
      </c>
      <c r="D121" t="s">
        <v>546</v>
      </c>
      <c r="E121" t="s">
        <v>547</v>
      </c>
      <c r="F121" t="s">
        <v>29</v>
      </c>
      <c r="G121" t="s">
        <v>129</v>
      </c>
      <c r="H121" t="s">
        <v>482</v>
      </c>
      <c r="I121" t="s">
        <v>16</v>
      </c>
      <c r="J121" t="s">
        <v>23</v>
      </c>
      <c r="K121" t="s">
        <v>548</v>
      </c>
      <c r="L121" t="s">
        <v>549</v>
      </c>
    </row>
    <row r="122" spans="1:12" x14ac:dyDescent="0.25">
      <c r="A122" t="s">
        <v>550</v>
      </c>
      <c r="B122">
        <v>-3957</v>
      </c>
      <c r="C122">
        <v>26419</v>
      </c>
      <c r="D122" t="s">
        <v>551</v>
      </c>
      <c r="E122" t="s">
        <v>552</v>
      </c>
      <c r="F122" t="s">
        <v>29</v>
      </c>
      <c r="G122" t="s">
        <v>60</v>
      </c>
      <c r="I122" t="s">
        <v>16</v>
      </c>
      <c r="J122" t="s">
        <v>553</v>
      </c>
      <c r="K122" t="s">
        <v>554</v>
      </c>
      <c r="L122" t="s">
        <v>555</v>
      </c>
    </row>
    <row r="123" spans="1:12" x14ac:dyDescent="0.25">
      <c r="A123" t="s">
        <v>556</v>
      </c>
      <c r="B123">
        <v>-13.966666666666599</v>
      </c>
      <c r="C123">
        <v>27.85</v>
      </c>
      <c r="D123" t="s">
        <v>557</v>
      </c>
      <c r="E123" t="s">
        <v>558</v>
      </c>
      <c r="F123" t="s">
        <v>29</v>
      </c>
      <c r="I123" t="s">
        <v>16</v>
      </c>
      <c r="J123" t="s">
        <v>559</v>
      </c>
      <c r="K123" t="s">
        <v>560</v>
      </c>
      <c r="L123" t="s">
        <v>561</v>
      </c>
    </row>
    <row r="124" spans="1:12" x14ac:dyDescent="0.25">
      <c r="A124" t="s">
        <v>562</v>
      </c>
      <c r="B124">
        <v>-13.0869444444444</v>
      </c>
      <c r="C124" s="2" t="s">
        <v>1211</v>
      </c>
      <c r="D124" t="s">
        <v>563</v>
      </c>
      <c r="E124" t="s">
        <v>564</v>
      </c>
      <c r="F124" t="s">
        <v>29</v>
      </c>
      <c r="I124" t="s">
        <v>16</v>
      </c>
      <c r="J124" t="s">
        <v>565</v>
      </c>
      <c r="K124" t="s">
        <v>566</v>
      </c>
      <c r="L124" t="s">
        <v>567</v>
      </c>
    </row>
    <row r="125" spans="1:12" x14ac:dyDescent="0.25">
      <c r="A125" t="s">
        <v>568</v>
      </c>
      <c r="B125">
        <v>-13.503888888888801</v>
      </c>
      <c r="C125" s="2" t="s">
        <v>1212</v>
      </c>
      <c r="D125" t="s">
        <v>569</v>
      </c>
      <c r="E125" t="s">
        <v>570</v>
      </c>
      <c r="F125" t="s">
        <v>571</v>
      </c>
      <c r="G125" t="s">
        <v>572</v>
      </c>
      <c r="H125" t="s">
        <v>573</v>
      </c>
      <c r="I125" t="s">
        <v>16</v>
      </c>
      <c r="J125" t="s">
        <v>574</v>
      </c>
      <c r="K125" t="s">
        <v>575</v>
      </c>
      <c r="L125" t="s">
        <v>576</v>
      </c>
    </row>
    <row r="126" spans="1:12" x14ac:dyDescent="0.25">
      <c r="A126" t="s">
        <v>577</v>
      </c>
      <c r="B126">
        <v>-13.25</v>
      </c>
      <c r="C126">
        <v>27.25</v>
      </c>
      <c r="D126" t="s">
        <v>578</v>
      </c>
      <c r="E126" t="s">
        <v>579</v>
      </c>
      <c r="F126" t="s">
        <v>39</v>
      </c>
      <c r="I126" t="s">
        <v>16</v>
      </c>
      <c r="J126" t="s">
        <v>72</v>
      </c>
      <c r="K126" t="s">
        <v>136</v>
      </c>
      <c r="L126" t="s">
        <v>580</v>
      </c>
    </row>
    <row r="127" spans="1:12" x14ac:dyDescent="0.25">
      <c r="A127" t="s">
        <v>581</v>
      </c>
      <c r="B127" s="2" t="s">
        <v>1213</v>
      </c>
      <c r="C127" s="2" t="s">
        <v>1167</v>
      </c>
      <c r="D127" t="s">
        <v>253</v>
      </c>
      <c r="E127" t="s">
        <v>582</v>
      </c>
      <c r="F127" t="s">
        <v>583</v>
      </c>
      <c r="G127" t="s">
        <v>584</v>
      </c>
      <c r="H127" t="s">
        <v>29</v>
      </c>
      <c r="I127" t="s">
        <v>17</v>
      </c>
      <c r="J127" t="s">
        <v>585</v>
      </c>
      <c r="K127" t="s">
        <v>16</v>
      </c>
      <c r="L127" t="s">
        <v>586</v>
      </c>
    </row>
    <row r="128" spans="1:12" x14ac:dyDescent="0.25">
      <c r="A128" t="s">
        <v>587</v>
      </c>
      <c r="B128">
        <v>-13.0869444444444</v>
      </c>
      <c r="C128" s="2" t="s">
        <v>1214</v>
      </c>
      <c r="D128" t="s">
        <v>588</v>
      </c>
      <c r="E128" t="s">
        <v>589</v>
      </c>
      <c r="F128" t="s">
        <v>590</v>
      </c>
      <c r="G128" t="s">
        <v>388</v>
      </c>
      <c r="H128" t="s">
        <v>29</v>
      </c>
      <c r="I128" t="s">
        <v>381</v>
      </c>
      <c r="J128" t="s">
        <v>591</v>
      </c>
      <c r="K128" t="s">
        <v>592</v>
      </c>
      <c r="L128" t="s">
        <v>593</v>
      </c>
    </row>
    <row r="129" spans="1:12" x14ac:dyDescent="0.25">
      <c r="A129" t="s">
        <v>594</v>
      </c>
      <c r="B129">
        <v>-13.1166666666666</v>
      </c>
      <c r="C129" s="2" t="s">
        <v>1215</v>
      </c>
      <c r="D129" t="s">
        <v>595</v>
      </c>
      <c r="E129" t="s">
        <v>596</v>
      </c>
      <c r="F129" t="s">
        <v>590</v>
      </c>
      <c r="G129" t="s">
        <v>388</v>
      </c>
      <c r="I129" t="s">
        <v>17</v>
      </c>
      <c r="J129" t="s">
        <v>597</v>
      </c>
      <c r="K129" t="s">
        <v>598</v>
      </c>
      <c r="L129" t="s">
        <v>599</v>
      </c>
    </row>
    <row r="130" spans="1:12" x14ac:dyDescent="0.25">
      <c r="A130" t="s">
        <v>600</v>
      </c>
      <c r="B130">
        <v>-13.053611111111101</v>
      </c>
      <c r="C130" s="2" t="s">
        <v>1216</v>
      </c>
      <c r="D130" t="s">
        <v>601</v>
      </c>
      <c r="E130" t="s">
        <v>602</v>
      </c>
      <c r="F130" t="s">
        <v>29</v>
      </c>
      <c r="I130" t="s">
        <v>17</v>
      </c>
      <c r="J130" t="s">
        <v>603</v>
      </c>
      <c r="K130" t="s">
        <v>604</v>
      </c>
      <c r="L130" t="s">
        <v>605</v>
      </c>
    </row>
    <row r="131" spans="1:12" x14ac:dyDescent="0.25">
      <c r="A131" t="s">
        <v>606</v>
      </c>
      <c r="B131">
        <v>-13.070277777777701</v>
      </c>
      <c r="C131" s="2" t="s">
        <v>1217</v>
      </c>
      <c r="D131" t="s">
        <v>607</v>
      </c>
      <c r="E131" t="s">
        <v>608</v>
      </c>
      <c r="F131" t="s">
        <v>29</v>
      </c>
      <c r="I131" t="s">
        <v>16</v>
      </c>
      <c r="J131" t="s">
        <v>609</v>
      </c>
      <c r="K131" t="s">
        <v>610</v>
      </c>
      <c r="L131" t="s">
        <v>611</v>
      </c>
    </row>
    <row r="132" spans="1:12" x14ac:dyDescent="0.25">
      <c r="A132" t="s">
        <v>612</v>
      </c>
      <c r="B132">
        <v>-13.0369444444444</v>
      </c>
      <c r="C132" s="2" t="s">
        <v>1218</v>
      </c>
      <c r="D132" t="s">
        <v>613</v>
      </c>
      <c r="E132" t="s">
        <v>614</v>
      </c>
      <c r="F132" t="s">
        <v>615</v>
      </c>
      <c r="G132" t="s">
        <v>29</v>
      </c>
      <c r="H132" t="s">
        <v>616</v>
      </c>
      <c r="I132" t="s">
        <v>16</v>
      </c>
      <c r="J132" t="s">
        <v>617</v>
      </c>
      <c r="K132" t="s">
        <v>618</v>
      </c>
      <c r="L132" t="s">
        <v>619</v>
      </c>
    </row>
    <row r="133" spans="1:12" x14ac:dyDescent="0.25">
      <c r="A133" t="s">
        <v>620</v>
      </c>
      <c r="B133">
        <v>-13.1</v>
      </c>
      <c r="C133">
        <v>28.35</v>
      </c>
      <c r="D133" t="s">
        <v>621</v>
      </c>
      <c r="E133" t="s">
        <v>622</v>
      </c>
      <c r="F133" t="s">
        <v>623</v>
      </c>
      <c r="G133" t="s">
        <v>29</v>
      </c>
      <c r="I133" t="s">
        <v>17</v>
      </c>
      <c r="J133" t="s">
        <v>617</v>
      </c>
      <c r="K133" t="s">
        <v>624</v>
      </c>
      <c r="L133" t="s">
        <v>625</v>
      </c>
    </row>
    <row r="134" spans="1:12" x14ac:dyDescent="0.25">
      <c r="A134" t="s">
        <v>626</v>
      </c>
      <c r="B134">
        <v>-13.066666666666601</v>
      </c>
      <c r="C134">
        <v>28.05</v>
      </c>
      <c r="D134" t="s">
        <v>627</v>
      </c>
      <c r="E134" t="s">
        <v>628</v>
      </c>
      <c r="F134" t="s">
        <v>629</v>
      </c>
      <c r="G134" t="s">
        <v>630</v>
      </c>
      <c r="H134" t="s">
        <v>388</v>
      </c>
      <c r="I134" t="s">
        <v>16</v>
      </c>
      <c r="J134" t="s">
        <v>631</v>
      </c>
      <c r="K134" t="s">
        <v>632</v>
      </c>
      <c r="L134" t="s">
        <v>633</v>
      </c>
    </row>
    <row r="135" spans="1:12" x14ac:dyDescent="0.25">
      <c r="A135" t="s">
        <v>634</v>
      </c>
      <c r="B135">
        <v>1329.25</v>
      </c>
      <c r="C135">
        <v>29.5</v>
      </c>
      <c r="D135" t="s">
        <v>635</v>
      </c>
      <c r="E135" t="s">
        <v>636</v>
      </c>
      <c r="F135" t="s">
        <v>89</v>
      </c>
      <c r="I135" t="s">
        <v>17</v>
      </c>
      <c r="J135" t="s">
        <v>17</v>
      </c>
      <c r="K135" t="s">
        <v>124</v>
      </c>
      <c r="L135" t="s">
        <v>637</v>
      </c>
    </row>
    <row r="136" spans="1:12" x14ac:dyDescent="0.25">
      <c r="A136" t="s">
        <v>638</v>
      </c>
      <c r="B136">
        <v>-133.65</v>
      </c>
      <c r="C136">
        <v>29.3</v>
      </c>
      <c r="D136" t="s">
        <v>639</v>
      </c>
      <c r="E136" t="s">
        <v>640</v>
      </c>
      <c r="F136" t="s">
        <v>60</v>
      </c>
      <c r="I136" t="s">
        <v>16</v>
      </c>
      <c r="J136" t="s">
        <v>641</v>
      </c>
      <c r="K136" t="s">
        <v>642</v>
      </c>
      <c r="L136" t="s">
        <v>643</v>
      </c>
    </row>
    <row r="137" spans="1:12" x14ac:dyDescent="0.25">
      <c r="A137" t="s">
        <v>1219</v>
      </c>
      <c r="B137">
        <v>-13.966666666666599</v>
      </c>
      <c r="C137" s="2" t="s">
        <v>1220</v>
      </c>
      <c r="D137" t="s">
        <v>639</v>
      </c>
      <c r="E137" t="s">
        <v>644</v>
      </c>
      <c r="F137" t="s">
        <v>29</v>
      </c>
      <c r="G137" t="s">
        <v>482</v>
      </c>
      <c r="H137" t="s">
        <v>590</v>
      </c>
      <c r="I137" t="s">
        <v>16</v>
      </c>
      <c r="J137" t="s">
        <v>645</v>
      </c>
      <c r="K137" t="s">
        <v>646</v>
      </c>
      <c r="L137" t="s">
        <v>647</v>
      </c>
    </row>
    <row r="138" spans="1:12" x14ac:dyDescent="0.25">
      <c r="A138" t="s">
        <v>1221</v>
      </c>
      <c r="B138">
        <v>-13.9166666666666</v>
      </c>
      <c r="C138">
        <v>29.2</v>
      </c>
      <c r="D138" t="s">
        <v>639</v>
      </c>
      <c r="E138" t="s">
        <v>648</v>
      </c>
      <c r="F138" t="s">
        <v>29</v>
      </c>
      <c r="G138" t="s">
        <v>482</v>
      </c>
      <c r="H138" t="s">
        <v>590</v>
      </c>
      <c r="I138" t="s">
        <v>16</v>
      </c>
      <c r="J138" t="s">
        <v>649</v>
      </c>
      <c r="K138" t="s">
        <v>646</v>
      </c>
      <c r="L138" t="s">
        <v>650</v>
      </c>
    </row>
    <row r="139" spans="1:12" x14ac:dyDescent="0.25">
      <c r="A139" t="s">
        <v>1222</v>
      </c>
      <c r="B139">
        <v>-13.966666666666599</v>
      </c>
      <c r="C139" s="2" t="s">
        <v>1223</v>
      </c>
      <c r="D139" t="s">
        <v>651</v>
      </c>
      <c r="E139" t="s">
        <v>648</v>
      </c>
      <c r="F139" t="s">
        <v>29</v>
      </c>
      <c r="G139" t="s">
        <v>482</v>
      </c>
      <c r="H139" t="s">
        <v>590</v>
      </c>
      <c r="I139" t="s">
        <v>16</v>
      </c>
      <c r="J139" t="s">
        <v>652</v>
      </c>
      <c r="K139" t="s">
        <v>646</v>
      </c>
      <c r="L139" t="s">
        <v>653</v>
      </c>
    </row>
    <row r="140" spans="1:12" x14ac:dyDescent="0.25">
      <c r="A140" t="s">
        <v>1224</v>
      </c>
      <c r="B140">
        <v>-13.95</v>
      </c>
      <c r="C140" s="2" t="s">
        <v>1225</v>
      </c>
      <c r="D140" t="s">
        <v>639</v>
      </c>
      <c r="E140" t="s">
        <v>654</v>
      </c>
      <c r="F140" t="s">
        <v>29</v>
      </c>
      <c r="G140" t="s">
        <v>482</v>
      </c>
      <c r="H140" t="s">
        <v>590</v>
      </c>
      <c r="I140" t="s">
        <v>16</v>
      </c>
      <c r="J140" t="s">
        <v>655</v>
      </c>
      <c r="K140" t="s">
        <v>656</v>
      </c>
      <c r="L140" t="s">
        <v>657</v>
      </c>
    </row>
    <row r="141" spans="1:12" x14ac:dyDescent="0.25">
      <c r="A141" t="s">
        <v>658</v>
      </c>
      <c r="B141">
        <v>-13.9166666666666</v>
      </c>
      <c r="C141" s="2" t="s">
        <v>1226</v>
      </c>
      <c r="D141" t="s">
        <v>659</v>
      </c>
      <c r="E141" t="s">
        <v>660</v>
      </c>
      <c r="F141" t="s">
        <v>661</v>
      </c>
      <c r="G141" t="s">
        <v>590</v>
      </c>
      <c r="H141" t="s">
        <v>482</v>
      </c>
      <c r="I141" t="s">
        <v>16</v>
      </c>
      <c r="J141" t="s">
        <v>662</v>
      </c>
      <c r="K141" t="s">
        <v>72</v>
      </c>
      <c r="L141" t="s">
        <v>663</v>
      </c>
    </row>
    <row r="142" spans="1:12" x14ac:dyDescent="0.25">
      <c r="A142" t="s">
        <v>664</v>
      </c>
      <c r="B142">
        <v>-13.1666666666666</v>
      </c>
      <c r="C142" s="2" t="s">
        <v>1227</v>
      </c>
      <c r="D142" t="s">
        <v>665</v>
      </c>
      <c r="E142" t="s">
        <v>666</v>
      </c>
      <c r="F142" t="s">
        <v>39</v>
      </c>
      <c r="G142" t="s">
        <v>667</v>
      </c>
      <c r="I142" t="s">
        <v>16</v>
      </c>
      <c r="J142" t="s">
        <v>72</v>
      </c>
      <c r="K142" t="s">
        <v>668</v>
      </c>
      <c r="L142" t="s">
        <v>669</v>
      </c>
    </row>
    <row r="143" spans="1:12" x14ac:dyDescent="0.25">
      <c r="A143" t="s">
        <v>670</v>
      </c>
      <c r="B143">
        <v>-13.25</v>
      </c>
      <c r="C143">
        <v>30.25</v>
      </c>
      <c r="D143" t="s">
        <v>671</v>
      </c>
      <c r="E143" t="s">
        <v>672</v>
      </c>
      <c r="F143" t="s">
        <v>389</v>
      </c>
      <c r="G143" t="s">
        <v>388</v>
      </c>
      <c r="H143" t="s">
        <v>673</v>
      </c>
      <c r="I143" t="s">
        <v>16</v>
      </c>
      <c r="J143" t="s">
        <v>23</v>
      </c>
      <c r="K143" t="s">
        <v>391</v>
      </c>
      <c r="L143" t="s">
        <v>674</v>
      </c>
    </row>
    <row r="144" spans="1:12" x14ac:dyDescent="0.25">
      <c r="A144" t="s">
        <v>675</v>
      </c>
      <c r="B144">
        <v>-13.816666666666601</v>
      </c>
      <c r="C144" s="2" t="s">
        <v>1228</v>
      </c>
      <c r="D144" t="s">
        <v>676</v>
      </c>
      <c r="E144" t="s">
        <v>677</v>
      </c>
      <c r="F144" t="s">
        <v>60</v>
      </c>
      <c r="I144" t="s">
        <v>16</v>
      </c>
      <c r="J144" t="s">
        <v>17</v>
      </c>
      <c r="K144" t="s">
        <v>678</v>
      </c>
      <c r="L144" t="s">
        <v>679</v>
      </c>
    </row>
    <row r="145" spans="1:12" x14ac:dyDescent="0.25">
      <c r="A145" t="s">
        <v>680</v>
      </c>
      <c r="B145">
        <v>-13.8333333333333</v>
      </c>
      <c r="C145" s="2" t="s">
        <v>1229</v>
      </c>
      <c r="D145" t="s">
        <v>681</v>
      </c>
      <c r="E145" t="s">
        <v>682</v>
      </c>
      <c r="F145" t="s">
        <v>60</v>
      </c>
      <c r="I145" t="s">
        <v>16</v>
      </c>
      <c r="J145" t="s">
        <v>17</v>
      </c>
      <c r="K145" t="s">
        <v>683</v>
      </c>
      <c r="L145" t="s">
        <v>684</v>
      </c>
    </row>
    <row r="146" spans="1:12" x14ac:dyDescent="0.25">
      <c r="A146" t="s">
        <v>685</v>
      </c>
      <c r="B146">
        <v>-13554</v>
      </c>
      <c r="C146">
        <v>31.35</v>
      </c>
      <c r="D146" t="s">
        <v>686</v>
      </c>
      <c r="E146" t="s">
        <v>682</v>
      </c>
      <c r="F146" t="s">
        <v>60</v>
      </c>
      <c r="I146" t="s">
        <v>16</v>
      </c>
      <c r="J146" t="s">
        <v>23</v>
      </c>
      <c r="K146" t="s">
        <v>687</v>
      </c>
      <c r="L146" t="s">
        <v>688</v>
      </c>
    </row>
    <row r="147" spans="1:12" x14ac:dyDescent="0.25">
      <c r="A147" t="s">
        <v>689</v>
      </c>
      <c r="B147">
        <v>-15.75</v>
      </c>
      <c r="D147" t="s">
        <v>690</v>
      </c>
      <c r="E147" t="s">
        <v>691</v>
      </c>
      <c r="F147" t="s">
        <v>39</v>
      </c>
      <c r="G147" t="s">
        <v>692</v>
      </c>
      <c r="I147" t="s">
        <v>16</v>
      </c>
      <c r="J147" t="s">
        <v>693</v>
      </c>
      <c r="K147" t="s">
        <v>694</v>
      </c>
      <c r="L147" t="s">
        <v>695</v>
      </c>
    </row>
    <row r="148" spans="1:12" x14ac:dyDescent="0.25">
      <c r="A148" t="s">
        <v>696</v>
      </c>
      <c r="B148">
        <v>-135.03333333333299</v>
      </c>
      <c r="C148" s="2" t="s">
        <v>1230</v>
      </c>
      <c r="D148" t="s">
        <v>697</v>
      </c>
      <c r="E148" t="s">
        <v>698</v>
      </c>
      <c r="F148" t="s">
        <v>60</v>
      </c>
      <c r="I148" t="s">
        <v>16</v>
      </c>
      <c r="J148" t="s">
        <v>17</v>
      </c>
      <c r="K148" t="s">
        <v>699</v>
      </c>
      <c r="L148" t="s">
        <v>700</v>
      </c>
    </row>
    <row r="149" spans="1:12" x14ac:dyDescent="0.25">
      <c r="A149" t="s">
        <v>701</v>
      </c>
      <c r="B149">
        <v>-13.9</v>
      </c>
      <c r="C149" s="2" t="s">
        <v>1231</v>
      </c>
      <c r="D149" t="s">
        <v>702</v>
      </c>
      <c r="E149" t="s">
        <v>703</v>
      </c>
      <c r="F149" t="s">
        <v>60</v>
      </c>
      <c r="I149" t="s">
        <v>17</v>
      </c>
      <c r="J149" t="s">
        <v>704</v>
      </c>
      <c r="K149" t="s">
        <v>705</v>
      </c>
      <c r="L149" t="s">
        <v>706</v>
      </c>
    </row>
    <row r="150" spans="1:12" x14ac:dyDescent="0.25">
      <c r="A150" t="s">
        <v>707</v>
      </c>
      <c r="B150">
        <v>-15.654166666666599</v>
      </c>
      <c r="C150" s="2" t="s">
        <v>1232</v>
      </c>
      <c r="D150" t="s">
        <v>708</v>
      </c>
      <c r="E150" t="s">
        <v>709</v>
      </c>
      <c r="F150" t="s">
        <v>60</v>
      </c>
      <c r="I150" t="s">
        <v>16</v>
      </c>
      <c r="J150" t="s">
        <v>17</v>
      </c>
      <c r="K150" t="s">
        <v>710</v>
      </c>
      <c r="L150" t="s">
        <v>711</v>
      </c>
    </row>
    <row r="151" spans="1:12" x14ac:dyDescent="0.25">
      <c r="A151" t="s">
        <v>712</v>
      </c>
      <c r="B151">
        <v>-13.7</v>
      </c>
      <c r="C151" s="2" t="s">
        <v>1233</v>
      </c>
      <c r="D151" t="s">
        <v>708</v>
      </c>
      <c r="E151" t="s">
        <v>713</v>
      </c>
      <c r="F151" t="s">
        <v>60</v>
      </c>
      <c r="G151" t="s">
        <v>714</v>
      </c>
      <c r="I151" t="s">
        <v>16</v>
      </c>
      <c r="J151" t="s">
        <v>17</v>
      </c>
      <c r="K151" t="s">
        <v>715</v>
      </c>
      <c r="L151" t="s">
        <v>716</v>
      </c>
    </row>
    <row r="152" spans="1:12" x14ac:dyDescent="0.25">
      <c r="A152" t="s">
        <v>717</v>
      </c>
      <c r="B152">
        <v>-14.0833333333333</v>
      </c>
      <c r="C152" s="2" t="s">
        <v>1234</v>
      </c>
      <c r="D152" t="s">
        <v>718</v>
      </c>
      <c r="E152" t="s">
        <v>719</v>
      </c>
      <c r="F152" t="s">
        <v>29</v>
      </c>
      <c r="G152" t="s">
        <v>720</v>
      </c>
      <c r="I152" t="s">
        <v>16</v>
      </c>
      <c r="J152" t="s">
        <v>721</v>
      </c>
      <c r="K152" t="s">
        <v>722</v>
      </c>
      <c r="L152" t="s">
        <v>723</v>
      </c>
    </row>
    <row r="153" spans="1:12" x14ac:dyDescent="0.25">
      <c r="A153" t="s">
        <v>724</v>
      </c>
      <c r="B153">
        <v>-14.003888888888801</v>
      </c>
      <c r="C153" s="2" t="s">
        <v>1153</v>
      </c>
      <c r="D153" t="s">
        <v>725</v>
      </c>
      <c r="E153" t="s">
        <v>726</v>
      </c>
      <c r="F153" t="s">
        <v>15</v>
      </c>
      <c r="I153" t="s">
        <v>16</v>
      </c>
      <c r="J153" t="s">
        <v>72</v>
      </c>
      <c r="K153" t="s">
        <v>18</v>
      </c>
      <c r="L153" t="s">
        <v>727</v>
      </c>
    </row>
    <row r="154" spans="1:12" x14ac:dyDescent="0.25">
      <c r="A154" t="s">
        <v>728</v>
      </c>
      <c r="B154">
        <v>-14.2666666666666</v>
      </c>
      <c r="C154" s="2" t="s">
        <v>1235</v>
      </c>
      <c r="D154" t="s">
        <v>528</v>
      </c>
      <c r="E154" t="s">
        <v>729</v>
      </c>
      <c r="F154" t="s">
        <v>29</v>
      </c>
      <c r="G154" t="s">
        <v>730</v>
      </c>
      <c r="I154" t="s">
        <v>16</v>
      </c>
      <c r="J154" t="s">
        <v>90</v>
      </c>
      <c r="K154" t="s">
        <v>731</v>
      </c>
      <c r="L154" t="s">
        <v>494</v>
      </c>
    </row>
    <row r="155" spans="1:12" x14ac:dyDescent="0.25">
      <c r="A155" t="s">
        <v>732</v>
      </c>
      <c r="B155">
        <v>-14.003888888888801</v>
      </c>
      <c r="C155" s="2" t="s">
        <v>1236</v>
      </c>
      <c r="D155" t="s">
        <v>733</v>
      </c>
      <c r="E155" t="s">
        <v>734</v>
      </c>
      <c r="F155" t="s">
        <v>15</v>
      </c>
      <c r="I155" t="s">
        <v>16</v>
      </c>
      <c r="J155" t="s">
        <v>72</v>
      </c>
      <c r="K155" t="s">
        <v>18</v>
      </c>
      <c r="L155" t="s">
        <v>727</v>
      </c>
    </row>
    <row r="156" spans="1:12" x14ac:dyDescent="0.25">
      <c r="A156" t="s">
        <v>732</v>
      </c>
      <c r="B156">
        <v>-14.003888888888801</v>
      </c>
      <c r="C156" s="2" t="s">
        <v>1236</v>
      </c>
      <c r="D156" t="s">
        <v>733</v>
      </c>
      <c r="E156" t="s">
        <v>734</v>
      </c>
      <c r="F156" t="s">
        <v>15</v>
      </c>
      <c r="I156" t="s">
        <v>16</v>
      </c>
      <c r="J156" t="s">
        <v>72</v>
      </c>
      <c r="K156" t="s">
        <v>18</v>
      </c>
      <c r="L156" t="s">
        <v>727</v>
      </c>
    </row>
    <row r="157" spans="1:12" x14ac:dyDescent="0.25">
      <c r="A157" t="s">
        <v>732</v>
      </c>
      <c r="B157">
        <v>-14.003888888888801</v>
      </c>
      <c r="C157" s="2" t="s">
        <v>1236</v>
      </c>
      <c r="D157" t="s">
        <v>733</v>
      </c>
      <c r="E157" t="s">
        <v>734</v>
      </c>
      <c r="F157" t="s">
        <v>15</v>
      </c>
      <c r="I157" t="s">
        <v>16</v>
      </c>
      <c r="J157" t="s">
        <v>72</v>
      </c>
      <c r="K157" t="s">
        <v>18</v>
      </c>
      <c r="L157" t="s">
        <v>727</v>
      </c>
    </row>
    <row r="158" spans="1:12" x14ac:dyDescent="0.25">
      <c r="A158" t="s">
        <v>732</v>
      </c>
      <c r="B158">
        <v>-14.003888888888801</v>
      </c>
      <c r="C158" s="2" t="s">
        <v>1236</v>
      </c>
      <c r="D158" t="s">
        <v>733</v>
      </c>
      <c r="E158" t="s">
        <v>734</v>
      </c>
      <c r="F158" t="s">
        <v>15</v>
      </c>
      <c r="I158" t="s">
        <v>16</v>
      </c>
      <c r="J158" t="s">
        <v>72</v>
      </c>
      <c r="K158" t="s">
        <v>18</v>
      </c>
      <c r="L158" t="s">
        <v>727</v>
      </c>
    </row>
    <row r="159" spans="1:12" x14ac:dyDescent="0.25">
      <c r="A159" t="s">
        <v>735</v>
      </c>
      <c r="B159">
        <v>-14.1833333333333</v>
      </c>
      <c r="C159" s="2" t="s">
        <v>1235</v>
      </c>
      <c r="D159" t="s">
        <v>718</v>
      </c>
      <c r="E159" t="s">
        <v>736</v>
      </c>
      <c r="F159" t="s">
        <v>482</v>
      </c>
      <c r="G159" t="s">
        <v>29</v>
      </c>
      <c r="I159" t="s">
        <v>16</v>
      </c>
      <c r="J159" t="s">
        <v>90</v>
      </c>
      <c r="K159" t="s">
        <v>737</v>
      </c>
      <c r="L159" t="s">
        <v>738</v>
      </c>
    </row>
    <row r="160" spans="1:12" x14ac:dyDescent="0.25">
      <c r="A160" t="s">
        <v>739</v>
      </c>
      <c r="B160">
        <v>-14.033333333333299</v>
      </c>
      <c r="C160">
        <v>25.2</v>
      </c>
      <c r="D160" t="s">
        <v>528</v>
      </c>
      <c r="E160" t="s">
        <v>740</v>
      </c>
      <c r="F160" t="s">
        <v>29</v>
      </c>
      <c r="G160" t="s">
        <v>482</v>
      </c>
      <c r="H160" t="s">
        <v>462</v>
      </c>
      <c r="I160" t="s">
        <v>16</v>
      </c>
      <c r="J160" t="s">
        <v>90</v>
      </c>
      <c r="K160" t="s">
        <v>741</v>
      </c>
      <c r="L160" t="s">
        <v>742</v>
      </c>
    </row>
    <row r="161" spans="1:12" x14ac:dyDescent="0.25">
      <c r="A161" t="s">
        <v>743</v>
      </c>
      <c r="B161">
        <v>-14.066666666666601</v>
      </c>
      <c r="C161" s="2" t="s">
        <v>1237</v>
      </c>
      <c r="D161" t="s">
        <v>438</v>
      </c>
      <c r="E161" t="s">
        <v>744</v>
      </c>
      <c r="F161" t="s">
        <v>29</v>
      </c>
      <c r="I161" t="s">
        <v>16</v>
      </c>
      <c r="J161" t="s">
        <v>72</v>
      </c>
      <c r="K161" t="s">
        <v>745</v>
      </c>
      <c r="L161" t="s">
        <v>746</v>
      </c>
    </row>
    <row r="162" spans="1:12" x14ac:dyDescent="0.25">
      <c r="A162" t="s">
        <v>747</v>
      </c>
      <c r="B162">
        <v>-14.783333333333299</v>
      </c>
      <c r="C162" s="2" t="s">
        <v>1198</v>
      </c>
      <c r="D162" t="s">
        <v>748</v>
      </c>
      <c r="E162" t="s">
        <v>749</v>
      </c>
      <c r="F162" t="s">
        <v>60</v>
      </c>
      <c r="G162" t="s">
        <v>29</v>
      </c>
      <c r="I162" t="s">
        <v>16</v>
      </c>
      <c r="J162" t="s">
        <v>750</v>
      </c>
      <c r="K162" t="s">
        <v>751</v>
      </c>
      <c r="L162" t="s">
        <v>752</v>
      </c>
    </row>
    <row r="163" spans="1:12" x14ac:dyDescent="0.25">
      <c r="A163" t="s">
        <v>753</v>
      </c>
      <c r="B163">
        <v>-14.504166666666601</v>
      </c>
      <c r="C163" s="2" t="s">
        <v>1238</v>
      </c>
      <c r="D163" t="s">
        <v>754</v>
      </c>
      <c r="E163" t="s">
        <v>755</v>
      </c>
      <c r="F163" t="s">
        <v>15</v>
      </c>
      <c r="I163" t="s">
        <v>16</v>
      </c>
      <c r="J163" t="s">
        <v>72</v>
      </c>
      <c r="K163" t="s">
        <v>756</v>
      </c>
      <c r="L163" t="s">
        <v>757</v>
      </c>
    </row>
    <row r="164" spans="1:12" x14ac:dyDescent="0.25">
      <c r="A164" t="s">
        <v>758</v>
      </c>
      <c r="B164">
        <v>-14.25</v>
      </c>
      <c r="C164" s="2" t="s">
        <v>1239</v>
      </c>
      <c r="D164" t="s">
        <v>759</v>
      </c>
      <c r="E164" t="s">
        <v>760</v>
      </c>
      <c r="F164" t="s">
        <v>571</v>
      </c>
      <c r="G164" t="s">
        <v>761</v>
      </c>
      <c r="H164" t="s">
        <v>762</v>
      </c>
      <c r="I164" t="s">
        <v>16</v>
      </c>
      <c r="J164" t="s">
        <v>90</v>
      </c>
      <c r="K164" t="s">
        <v>763</v>
      </c>
      <c r="L164" t="s">
        <v>764</v>
      </c>
    </row>
    <row r="165" spans="1:12" x14ac:dyDescent="0.25">
      <c r="A165" t="s">
        <v>765</v>
      </c>
      <c r="B165">
        <v>-14.466666666666599</v>
      </c>
      <c r="C165" s="2" t="s">
        <v>1240</v>
      </c>
      <c r="D165" t="s">
        <v>766</v>
      </c>
      <c r="E165" t="s">
        <v>767</v>
      </c>
      <c r="F165" t="s">
        <v>29</v>
      </c>
      <c r="G165" t="s">
        <v>129</v>
      </c>
      <c r="H165" t="s">
        <v>462</v>
      </c>
      <c r="I165" t="s">
        <v>16</v>
      </c>
      <c r="J165" t="s">
        <v>72</v>
      </c>
      <c r="K165" t="s">
        <v>768</v>
      </c>
      <c r="L165" t="s">
        <v>769</v>
      </c>
    </row>
    <row r="166" spans="1:12" x14ac:dyDescent="0.25">
      <c r="A166" t="s">
        <v>770</v>
      </c>
      <c r="B166">
        <v>-14.003888888888801</v>
      </c>
      <c r="C166" s="2" t="s">
        <v>1241</v>
      </c>
      <c r="D166" t="s">
        <v>771</v>
      </c>
      <c r="E166" t="s">
        <v>772</v>
      </c>
      <c r="F166" t="s">
        <v>39</v>
      </c>
      <c r="I166" t="s">
        <v>16</v>
      </c>
      <c r="J166" t="s">
        <v>72</v>
      </c>
      <c r="K166" t="s">
        <v>773</v>
      </c>
      <c r="L166" t="s">
        <v>115</v>
      </c>
    </row>
    <row r="167" spans="1:12" x14ac:dyDescent="0.25">
      <c r="A167" t="s">
        <v>774</v>
      </c>
      <c r="B167">
        <v>-14.3375</v>
      </c>
      <c r="C167" s="2" t="s">
        <v>1242</v>
      </c>
      <c r="D167" t="s">
        <v>775</v>
      </c>
      <c r="E167" t="s">
        <v>776</v>
      </c>
      <c r="F167" t="s">
        <v>39</v>
      </c>
      <c r="G167" t="s">
        <v>60</v>
      </c>
      <c r="H167" t="s">
        <v>29</v>
      </c>
      <c r="I167" t="s">
        <v>16</v>
      </c>
      <c r="J167" t="s">
        <v>777</v>
      </c>
      <c r="K167" t="s">
        <v>778</v>
      </c>
      <c r="L167" t="s">
        <v>779</v>
      </c>
    </row>
    <row r="168" spans="1:12" x14ac:dyDescent="0.25">
      <c r="A168" t="s">
        <v>780</v>
      </c>
      <c r="B168">
        <v>-14.5</v>
      </c>
      <c r="C168" s="2" t="s">
        <v>1240</v>
      </c>
      <c r="D168" t="s">
        <v>781</v>
      </c>
      <c r="E168" t="s">
        <v>782</v>
      </c>
      <c r="F168" t="s">
        <v>129</v>
      </c>
      <c r="G168" t="s">
        <v>462</v>
      </c>
      <c r="I168" t="s">
        <v>16</v>
      </c>
      <c r="J168" t="s">
        <v>783</v>
      </c>
      <c r="K168" t="s">
        <v>784</v>
      </c>
      <c r="L168" t="s">
        <v>785</v>
      </c>
    </row>
    <row r="169" spans="1:12" x14ac:dyDescent="0.25">
      <c r="A169" t="s">
        <v>786</v>
      </c>
      <c r="B169">
        <v>-14.716666666666599</v>
      </c>
      <c r="C169" s="2" t="s">
        <v>1243</v>
      </c>
      <c r="D169" t="s">
        <v>787</v>
      </c>
      <c r="E169" t="s">
        <v>788</v>
      </c>
      <c r="F169" t="s">
        <v>29</v>
      </c>
      <c r="I169" t="s">
        <v>16</v>
      </c>
      <c r="J169" t="s">
        <v>789</v>
      </c>
      <c r="K169" t="s">
        <v>790</v>
      </c>
      <c r="L169" t="s">
        <v>791</v>
      </c>
    </row>
    <row r="170" spans="1:12" x14ac:dyDescent="0.25">
      <c r="A170" t="s">
        <v>792</v>
      </c>
      <c r="B170">
        <v>-14.6833333333333</v>
      </c>
      <c r="C170">
        <v>27.85</v>
      </c>
      <c r="D170" t="s">
        <v>793</v>
      </c>
      <c r="E170" t="s">
        <v>794</v>
      </c>
      <c r="F170" t="s">
        <v>29</v>
      </c>
      <c r="G170" t="s">
        <v>462</v>
      </c>
      <c r="I170" t="s">
        <v>16</v>
      </c>
      <c r="J170" t="s">
        <v>795</v>
      </c>
      <c r="K170" t="s">
        <v>796</v>
      </c>
      <c r="L170" t="s">
        <v>611</v>
      </c>
    </row>
    <row r="171" spans="1:12" x14ac:dyDescent="0.25">
      <c r="A171" t="s">
        <v>797</v>
      </c>
      <c r="B171" s="2" t="s">
        <v>1244</v>
      </c>
      <c r="C171" s="2" t="s">
        <v>1245</v>
      </c>
      <c r="D171" t="s">
        <v>793</v>
      </c>
      <c r="E171" t="s">
        <v>798</v>
      </c>
      <c r="F171" t="s">
        <v>29</v>
      </c>
      <c r="I171" t="s">
        <v>16</v>
      </c>
      <c r="J171" t="s">
        <v>90</v>
      </c>
      <c r="K171" t="s">
        <v>799</v>
      </c>
      <c r="L171" t="s">
        <v>800</v>
      </c>
    </row>
    <row r="172" spans="1:12" x14ac:dyDescent="0.25">
      <c r="A172" t="s">
        <v>801</v>
      </c>
      <c r="B172">
        <v>-14.5833333333333</v>
      </c>
      <c r="C172" s="2" t="s">
        <v>1243</v>
      </c>
      <c r="D172" t="s">
        <v>802</v>
      </c>
      <c r="E172" t="s">
        <v>803</v>
      </c>
      <c r="F172" t="s">
        <v>29</v>
      </c>
      <c r="G172" t="s">
        <v>462</v>
      </c>
      <c r="I172" t="s">
        <v>16</v>
      </c>
      <c r="J172" t="s">
        <v>804</v>
      </c>
      <c r="K172" t="s">
        <v>805</v>
      </c>
      <c r="L172" t="s">
        <v>806</v>
      </c>
    </row>
    <row r="173" spans="1:12" x14ac:dyDescent="0.25">
      <c r="A173" t="s">
        <v>807</v>
      </c>
      <c r="B173">
        <v>-14.5833333333333</v>
      </c>
      <c r="C173" s="2" t="s">
        <v>1246</v>
      </c>
      <c r="D173" t="s">
        <v>808</v>
      </c>
      <c r="E173" t="s">
        <v>809</v>
      </c>
      <c r="F173" t="s">
        <v>29</v>
      </c>
      <c r="G173" t="s">
        <v>462</v>
      </c>
      <c r="H173" t="s">
        <v>810</v>
      </c>
      <c r="I173" t="s">
        <v>16</v>
      </c>
      <c r="J173" t="s">
        <v>17</v>
      </c>
      <c r="K173" t="s">
        <v>811</v>
      </c>
      <c r="L173" t="s">
        <v>812</v>
      </c>
    </row>
    <row r="174" spans="1:12" x14ac:dyDescent="0.25">
      <c r="A174" t="s">
        <v>813</v>
      </c>
      <c r="B174">
        <v>-14.5872222222222</v>
      </c>
      <c r="C174" s="2" t="s">
        <v>1247</v>
      </c>
      <c r="D174" t="s">
        <v>814</v>
      </c>
      <c r="E174" t="s">
        <v>815</v>
      </c>
      <c r="F174" t="s">
        <v>39</v>
      </c>
      <c r="G174" t="s">
        <v>29</v>
      </c>
      <c r="I174" t="s">
        <v>16</v>
      </c>
      <c r="J174" t="s">
        <v>816</v>
      </c>
      <c r="K174" t="s">
        <v>170</v>
      </c>
      <c r="L174" t="s">
        <v>817</v>
      </c>
    </row>
    <row r="175" spans="1:12" x14ac:dyDescent="0.25">
      <c r="A175" t="s">
        <v>818</v>
      </c>
      <c r="B175">
        <v>-14.754166666666601</v>
      </c>
      <c r="C175" s="2" t="s">
        <v>1241</v>
      </c>
      <c r="D175" t="s">
        <v>819</v>
      </c>
      <c r="E175" t="s">
        <v>820</v>
      </c>
      <c r="F175" t="s">
        <v>39</v>
      </c>
      <c r="I175" t="s">
        <v>16</v>
      </c>
      <c r="J175" t="s">
        <v>821</v>
      </c>
      <c r="K175" t="s">
        <v>170</v>
      </c>
      <c r="L175" t="s">
        <v>822</v>
      </c>
    </row>
    <row r="176" spans="1:12" x14ac:dyDescent="0.25">
      <c r="A176" t="s">
        <v>823</v>
      </c>
      <c r="B176">
        <v>-14.5833333333333</v>
      </c>
      <c r="C176" s="2" t="s">
        <v>1246</v>
      </c>
      <c r="D176" t="s">
        <v>824</v>
      </c>
      <c r="E176" t="s">
        <v>825</v>
      </c>
      <c r="F176" t="s">
        <v>826</v>
      </c>
      <c r="I176" t="s">
        <v>381</v>
      </c>
      <c r="J176" t="s">
        <v>17</v>
      </c>
      <c r="K176" t="s">
        <v>827</v>
      </c>
      <c r="L176" t="s">
        <v>828</v>
      </c>
    </row>
    <row r="177" spans="1:12" x14ac:dyDescent="0.25">
      <c r="A177" t="s">
        <v>829</v>
      </c>
      <c r="B177">
        <v>-14.6833333333333</v>
      </c>
      <c r="C177" s="2" t="s">
        <v>1248</v>
      </c>
      <c r="D177" t="s">
        <v>830</v>
      </c>
      <c r="E177" t="s">
        <v>831</v>
      </c>
      <c r="F177" t="s">
        <v>29</v>
      </c>
      <c r="I177" t="s">
        <v>16</v>
      </c>
      <c r="J177" t="s">
        <v>832</v>
      </c>
      <c r="K177" t="s">
        <v>833</v>
      </c>
      <c r="L177" t="s">
        <v>834</v>
      </c>
    </row>
    <row r="178" spans="1:12" x14ac:dyDescent="0.25">
      <c r="A178" t="s">
        <v>835</v>
      </c>
      <c r="B178">
        <v>-14.8</v>
      </c>
      <c r="C178" s="2" t="s">
        <v>1249</v>
      </c>
      <c r="D178" t="s">
        <v>836</v>
      </c>
      <c r="E178" t="s">
        <v>837</v>
      </c>
      <c r="F178" t="s">
        <v>15</v>
      </c>
      <c r="I178" t="s">
        <v>16</v>
      </c>
      <c r="J178" t="s">
        <v>72</v>
      </c>
      <c r="K178" t="s">
        <v>18</v>
      </c>
      <c r="L178" t="s">
        <v>838</v>
      </c>
    </row>
    <row r="179" spans="1:12" x14ac:dyDescent="0.25">
      <c r="A179" t="s">
        <v>839</v>
      </c>
      <c r="B179">
        <v>-14.75</v>
      </c>
      <c r="C179">
        <v>26.15</v>
      </c>
      <c r="D179" t="s">
        <v>840</v>
      </c>
      <c r="E179" t="s">
        <v>841</v>
      </c>
      <c r="F179" t="s">
        <v>15</v>
      </c>
      <c r="I179" t="s">
        <v>16</v>
      </c>
      <c r="J179" t="s">
        <v>72</v>
      </c>
      <c r="K179" t="s">
        <v>842</v>
      </c>
      <c r="L179" t="s">
        <v>843</v>
      </c>
    </row>
    <row r="180" spans="1:12" x14ac:dyDescent="0.25">
      <c r="A180" t="s">
        <v>844</v>
      </c>
      <c r="B180">
        <v>-14.85</v>
      </c>
      <c r="C180" s="2" t="s">
        <v>1250</v>
      </c>
      <c r="D180" t="s">
        <v>845</v>
      </c>
      <c r="E180" t="s">
        <v>846</v>
      </c>
      <c r="F180" t="s">
        <v>29</v>
      </c>
      <c r="I180" t="s">
        <v>16</v>
      </c>
      <c r="J180" t="s">
        <v>847</v>
      </c>
      <c r="K180" t="s">
        <v>848</v>
      </c>
      <c r="L180" t="s">
        <v>849</v>
      </c>
    </row>
    <row r="181" spans="1:12" x14ac:dyDescent="0.25">
      <c r="A181" t="s">
        <v>850</v>
      </c>
      <c r="B181">
        <v>-14.5872222222222</v>
      </c>
      <c r="C181" s="2" t="s">
        <v>1251</v>
      </c>
      <c r="D181" t="s">
        <v>851</v>
      </c>
      <c r="E181" t="s">
        <v>852</v>
      </c>
      <c r="F181" t="s">
        <v>39</v>
      </c>
      <c r="G181" t="s">
        <v>60</v>
      </c>
      <c r="I181" t="s">
        <v>16</v>
      </c>
      <c r="J181" t="s">
        <v>72</v>
      </c>
      <c r="K181" t="s">
        <v>853</v>
      </c>
      <c r="L181" t="s">
        <v>854</v>
      </c>
    </row>
    <row r="182" spans="1:12" x14ac:dyDescent="0.25">
      <c r="A182" t="s">
        <v>855</v>
      </c>
      <c r="B182">
        <v>-14.920833333333301</v>
      </c>
      <c r="C182" s="2" t="s">
        <v>1252</v>
      </c>
      <c r="D182" t="s">
        <v>856</v>
      </c>
      <c r="E182" t="s">
        <v>857</v>
      </c>
      <c r="F182" t="s">
        <v>39</v>
      </c>
      <c r="G182" t="s">
        <v>60</v>
      </c>
      <c r="I182" t="s">
        <v>16</v>
      </c>
      <c r="J182" t="s">
        <v>858</v>
      </c>
      <c r="K182" t="s">
        <v>859</v>
      </c>
      <c r="L182" t="s">
        <v>860</v>
      </c>
    </row>
    <row r="183" spans="1:12" x14ac:dyDescent="0.25">
      <c r="A183" t="s">
        <v>861</v>
      </c>
      <c r="B183">
        <v>-14</v>
      </c>
      <c r="C183">
        <v>28.5</v>
      </c>
      <c r="D183" t="s">
        <v>862</v>
      </c>
      <c r="E183" t="s">
        <v>863</v>
      </c>
      <c r="F183" t="s">
        <v>387</v>
      </c>
      <c r="G183" t="s">
        <v>194</v>
      </c>
      <c r="H183" t="s">
        <v>388</v>
      </c>
      <c r="I183" t="s">
        <v>17</v>
      </c>
      <c r="J183" t="s">
        <v>17</v>
      </c>
      <c r="K183" t="s">
        <v>864</v>
      </c>
      <c r="L183" t="s">
        <v>865</v>
      </c>
    </row>
    <row r="184" spans="1:12" x14ac:dyDescent="0.25">
      <c r="A184" t="s">
        <v>866</v>
      </c>
      <c r="B184">
        <v>-13.987222222222201</v>
      </c>
      <c r="C184" s="2" t="s">
        <v>1168</v>
      </c>
      <c r="D184" t="s">
        <v>867</v>
      </c>
      <c r="E184" t="s">
        <v>868</v>
      </c>
      <c r="F184" t="s">
        <v>29</v>
      </c>
      <c r="G184" t="s">
        <v>60</v>
      </c>
      <c r="H184" t="s">
        <v>462</v>
      </c>
      <c r="I184" t="s">
        <v>16</v>
      </c>
      <c r="J184" t="s">
        <v>72</v>
      </c>
      <c r="K184" t="s">
        <v>869</v>
      </c>
      <c r="L184" t="s">
        <v>870</v>
      </c>
    </row>
    <row r="185" spans="1:12" x14ac:dyDescent="0.25">
      <c r="A185" t="s">
        <v>871</v>
      </c>
      <c r="B185" s="2" t="s">
        <v>1253</v>
      </c>
      <c r="C185">
        <v>28.75</v>
      </c>
      <c r="D185" t="s">
        <v>872</v>
      </c>
      <c r="E185" t="s">
        <v>873</v>
      </c>
      <c r="F185" t="s">
        <v>89</v>
      </c>
      <c r="I185" t="s">
        <v>16</v>
      </c>
      <c r="J185" t="s">
        <v>874</v>
      </c>
      <c r="K185" t="s">
        <v>875</v>
      </c>
      <c r="L185" t="s">
        <v>876</v>
      </c>
    </row>
    <row r="186" spans="1:12" x14ac:dyDescent="0.25">
      <c r="A186" t="s">
        <v>877</v>
      </c>
      <c r="B186">
        <v>-14.466666666666599</v>
      </c>
      <c r="C186" s="2" t="s">
        <v>1254</v>
      </c>
      <c r="D186" t="s">
        <v>878</v>
      </c>
      <c r="E186" t="s">
        <v>879</v>
      </c>
      <c r="F186" t="s">
        <v>129</v>
      </c>
      <c r="G186" t="s">
        <v>241</v>
      </c>
      <c r="I186" t="s">
        <v>16</v>
      </c>
      <c r="J186" t="s">
        <v>880</v>
      </c>
      <c r="K186" t="s">
        <v>881</v>
      </c>
      <c r="L186" t="s">
        <v>882</v>
      </c>
    </row>
    <row r="187" spans="1:12" x14ac:dyDescent="0.25">
      <c r="A187" t="s">
        <v>883</v>
      </c>
      <c r="B187" s="2" t="s">
        <v>1255</v>
      </c>
      <c r="C187" s="2" t="s">
        <v>1254</v>
      </c>
      <c r="D187" t="s">
        <v>884</v>
      </c>
      <c r="E187" t="s">
        <v>885</v>
      </c>
      <c r="F187" t="s">
        <v>241</v>
      </c>
      <c r="G187" t="s">
        <v>129</v>
      </c>
      <c r="I187" t="s">
        <v>16</v>
      </c>
      <c r="J187" t="s">
        <v>886</v>
      </c>
      <c r="K187" t="s">
        <v>887</v>
      </c>
      <c r="L187" t="s">
        <v>888</v>
      </c>
    </row>
    <row r="188" spans="1:12" x14ac:dyDescent="0.25">
      <c r="A188" t="s">
        <v>889</v>
      </c>
      <c r="B188">
        <v>-14.466666666666599</v>
      </c>
      <c r="C188">
        <v>28.45</v>
      </c>
      <c r="D188" t="s">
        <v>890</v>
      </c>
      <c r="E188" t="s">
        <v>891</v>
      </c>
      <c r="F188" t="s">
        <v>129</v>
      </c>
      <c r="G188" t="s">
        <v>241</v>
      </c>
      <c r="I188" t="s">
        <v>16</v>
      </c>
      <c r="J188" t="s">
        <v>892</v>
      </c>
      <c r="K188" t="s">
        <v>893</v>
      </c>
      <c r="L188" t="s">
        <v>894</v>
      </c>
    </row>
    <row r="189" spans="1:12" x14ac:dyDescent="0.25">
      <c r="A189" t="s">
        <v>895</v>
      </c>
      <c r="B189" s="2" t="s">
        <v>1256</v>
      </c>
      <c r="C189" s="2" t="s">
        <v>1257</v>
      </c>
      <c r="D189" t="s">
        <v>896</v>
      </c>
      <c r="E189" t="s">
        <v>897</v>
      </c>
      <c r="F189" t="s">
        <v>129</v>
      </c>
      <c r="G189" t="s">
        <v>241</v>
      </c>
      <c r="I189" t="s">
        <v>17</v>
      </c>
      <c r="J189" t="s">
        <v>898</v>
      </c>
      <c r="K189" t="s">
        <v>899</v>
      </c>
      <c r="L189" t="s">
        <v>900</v>
      </c>
    </row>
    <row r="190" spans="1:12" x14ac:dyDescent="0.25">
      <c r="A190" t="s">
        <v>901</v>
      </c>
      <c r="B190">
        <v>-14.466666666666599</v>
      </c>
      <c r="C190" s="2" t="s">
        <v>1254</v>
      </c>
      <c r="D190" t="s">
        <v>902</v>
      </c>
      <c r="E190" t="s">
        <v>903</v>
      </c>
      <c r="F190" t="s">
        <v>129</v>
      </c>
      <c r="G190" t="s">
        <v>241</v>
      </c>
      <c r="H190" t="s">
        <v>29</v>
      </c>
      <c r="I190" t="s">
        <v>16</v>
      </c>
      <c r="J190" t="s">
        <v>904</v>
      </c>
      <c r="K190" t="s">
        <v>905</v>
      </c>
      <c r="L190" t="s">
        <v>906</v>
      </c>
    </row>
    <row r="191" spans="1:12" x14ac:dyDescent="0.25">
      <c r="A191" t="s">
        <v>907</v>
      </c>
      <c r="B191">
        <v>-14.05</v>
      </c>
      <c r="C191" s="2" t="s">
        <v>1258</v>
      </c>
      <c r="D191" t="s">
        <v>908</v>
      </c>
      <c r="E191" t="s">
        <v>909</v>
      </c>
      <c r="F191" t="s">
        <v>29</v>
      </c>
      <c r="G191" t="s">
        <v>129</v>
      </c>
      <c r="H191" t="s">
        <v>482</v>
      </c>
      <c r="I191" t="s">
        <v>16</v>
      </c>
      <c r="J191" t="s">
        <v>910</v>
      </c>
      <c r="K191" t="s">
        <v>911</v>
      </c>
      <c r="L191" t="s">
        <v>912</v>
      </c>
    </row>
    <row r="192" spans="1:12" x14ac:dyDescent="0.25">
      <c r="A192" t="s">
        <v>913</v>
      </c>
      <c r="B192">
        <v>-1.35</v>
      </c>
      <c r="C192" s="2" t="s">
        <v>1259</v>
      </c>
      <c r="D192" t="s">
        <v>914</v>
      </c>
      <c r="E192" t="s">
        <v>915</v>
      </c>
      <c r="F192" t="s">
        <v>129</v>
      </c>
      <c r="G192" t="s">
        <v>241</v>
      </c>
      <c r="H192" t="s">
        <v>29</v>
      </c>
      <c r="I192" t="s">
        <v>17</v>
      </c>
      <c r="J192" t="s">
        <v>916</v>
      </c>
      <c r="K192" t="s">
        <v>917</v>
      </c>
      <c r="L192" t="s">
        <v>918</v>
      </c>
    </row>
    <row r="193" spans="1:12" x14ac:dyDescent="0.25">
      <c r="A193" t="s">
        <v>919</v>
      </c>
      <c r="B193">
        <v>-14.466666666666599</v>
      </c>
      <c r="C193" s="2" t="s">
        <v>1254</v>
      </c>
      <c r="D193" t="s">
        <v>920</v>
      </c>
      <c r="E193" t="s">
        <v>921</v>
      </c>
      <c r="F193" t="s">
        <v>922</v>
      </c>
      <c r="G193" t="s">
        <v>129</v>
      </c>
      <c r="H193" t="s">
        <v>241</v>
      </c>
      <c r="I193" t="s">
        <v>16</v>
      </c>
      <c r="J193" t="s">
        <v>923</v>
      </c>
      <c r="K193" t="s">
        <v>924</v>
      </c>
      <c r="L193" t="s">
        <v>925</v>
      </c>
    </row>
    <row r="194" spans="1:12" x14ac:dyDescent="0.25">
      <c r="A194" t="s">
        <v>926</v>
      </c>
      <c r="B194">
        <v>-14.4166666666666</v>
      </c>
      <c r="C194" s="2" t="s">
        <v>1260</v>
      </c>
      <c r="D194" t="s">
        <v>914</v>
      </c>
      <c r="E194" t="s">
        <v>927</v>
      </c>
      <c r="F194" t="s">
        <v>129</v>
      </c>
      <c r="G194" t="s">
        <v>241</v>
      </c>
      <c r="H194" t="s">
        <v>29</v>
      </c>
      <c r="I194" t="s">
        <v>16</v>
      </c>
      <c r="J194" t="s">
        <v>928</v>
      </c>
      <c r="K194" t="s">
        <v>929</v>
      </c>
      <c r="L194" t="s">
        <v>930</v>
      </c>
    </row>
    <row r="195" spans="1:12" x14ac:dyDescent="0.25">
      <c r="A195" t="s">
        <v>913</v>
      </c>
      <c r="B195">
        <v>-1.35</v>
      </c>
      <c r="C195" s="2" t="s">
        <v>1259</v>
      </c>
      <c r="D195" t="s">
        <v>914</v>
      </c>
      <c r="E195" t="s">
        <v>915</v>
      </c>
      <c r="F195" t="s">
        <v>129</v>
      </c>
      <c r="G195" t="s">
        <v>241</v>
      </c>
      <c r="H195" t="s">
        <v>29</v>
      </c>
      <c r="I195" t="s">
        <v>16</v>
      </c>
      <c r="J195" t="s">
        <v>931</v>
      </c>
      <c r="K195" t="s">
        <v>932</v>
      </c>
      <c r="L195" t="s">
        <v>933</v>
      </c>
    </row>
    <row r="196" spans="1:12" x14ac:dyDescent="0.25">
      <c r="A196" t="s">
        <v>919</v>
      </c>
      <c r="B196">
        <v>-14.466666666666599</v>
      </c>
      <c r="C196" s="2" t="s">
        <v>1254</v>
      </c>
      <c r="D196" t="s">
        <v>934</v>
      </c>
      <c r="E196" t="s">
        <v>935</v>
      </c>
      <c r="F196" t="s">
        <v>129</v>
      </c>
      <c r="G196" t="s">
        <v>241</v>
      </c>
      <c r="H196" t="s">
        <v>462</v>
      </c>
      <c r="I196" t="s">
        <v>17</v>
      </c>
      <c r="J196" t="s">
        <v>936</v>
      </c>
      <c r="K196" t="s">
        <v>937</v>
      </c>
      <c r="L196" t="s">
        <v>938</v>
      </c>
    </row>
    <row r="197" spans="1:12" x14ac:dyDescent="0.25">
      <c r="A197" t="s">
        <v>926</v>
      </c>
      <c r="B197">
        <v>-14.4166666666666</v>
      </c>
      <c r="C197" s="2" t="s">
        <v>1260</v>
      </c>
      <c r="D197" t="s">
        <v>914</v>
      </c>
      <c r="E197" t="s">
        <v>927</v>
      </c>
      <c r="F197" t="s">
        <v>129</v>
      </c>
      <c r="G197" t="s">
        <v>241</v>
      </c>
      <c r="H197" t="s">
        <v>29</v>
      </c>
      <c r="I197" t="s">
        <v>16</v>
      </c>
      <c r="J197" t="s">
        <v>939</v>
      </c>
      <c r="K197" t="s">
        <v>940</v>
      </c>
      <c r="L197" t="s">
        <v>941</v>
      </c>
    </row>
    <row r="198" spans="1:12" x14ac:dyDescent="0.25">
      <c r="A198" t="s">
        <v>942</v>
      </c>
      <c r="B198">
        <v>-14.25</v>
      </c>
      <c r="C198">
        <v>28.25</v>
      </c>
      <c r="D198" t="s">
        <v>943</v>
      </c>
      <c r="E198" t="s">
        <v>944</v>
      </c>
      <c r="F198" t="s">
        <v>945</v>
      </c>
      <c r="G198" t="s">
        <v>129</v>
      </c>
      <c r="H198" t="s">
        <v>241</v>
      </c>
      <c r="I198" t="s">
        <v>16</v>
      </c>
      <c r="J198" t="s">
        <v>946</v>
      </c>
      <c r="K198" t="s">
        <v>947</v>
      </c>
      <c r="L198" t="s">
        <v>948</v>
      </c>
    </row>
    <row r="199" spans="1:12" x14ac:dyDescent="0.25">
      <c r="A199" t="s">
        <v>949</v>
      </c>
      <c r="B199">
        <v>-14.003888888888801</v>
      </c>
      <c r="C199" s="2" t="s">
        <v>1261</v>
      </c>
      <c r="D199" t="s">
        <v>950</v>
      </c>
      <c r="E199" t="s">
        <v>951</v>
      </c>
      <c r="F199" t="s">
        <v>39</v>
      </c>
      <c r="H199" t="s">
        <v>952</v>
      </c>
      <c r="I199" t="s">
        <v>17</v>
      </c>
      <c r="J199" t="s">
        <v>953</v>
      </c>
      <c r="K199" t="s">
        <v>954</v>
      </c>
      <c r="L199" t="s">
        <v>955</v>
      </c>
    </row>
    <row r="200" spans="1:12" x14ac:dyDescent="0.25">
      <c r="A200" t="s">
        <v>956</v>
      </c>
      <c r="B200">
        <v>-14.0166666666666</v>
      </c>
      <c r="C200" s="2" t="s">
        <v>1165</v>
      </c>
      <c r="D200" t="s">
        <v>908</v>
      </c>
      <c r="E200" t="s">
        <v>957</v>
      </c>
      <c r="F200" t="s">
        <v>129</v>
      </c>
      <c r="G200" t="s">
        <v>241</v>
      </c>
      <c r="H200" t="s">
        <v>482</v>
      </c>
      <c r="I200" t="s">
        <v>16</v>
      </c>
      <c r="J200" t="s">
        <v>958</v>
      </c>
      <c r="K200" t="s">
        <v>959</v>
      </c>
      <c r="L200" t="s">
        <v>888</v>
      </c>
    </row>
    <row r="201" spans="1:12" x14ac:dyDescent="0.25">
      <c r="A201" t="s">
        <v>960</v>
      </c>
      <c r="B201">
        <v>-14.8333333333333</v>
      </c>
      <c r="C201" s="2" t="s">
        <v>1262</v>
      </c>
      <c r="D201" t="s">
        <v>961</v>
      </c>
      <c r="E201" t="s">
        <v>962</v>
      </c>
      <c r="F201" t="s">
        <v>60</v>
      </c>
      <c r="H201" t="s">
        <v>963</v>
      </c>
      <c r="I201" t="s">
        <v>17</v>
      </c>
      <c r="J201" t="s">
        <v>715</v>
      </c>
      <c r="K201" t="s">
        <v>964</v>
      </c>
      <c r="L201" t="s">
        <v>965</v>
      </c>
    </row>
    <row r="202" spans="1:12" x14ac:dyDescent="0.25">
      <c r="A202" t="s">
        <v>966</v>
      </c>
      <c r="B202">
        <v>-14.7038888888888</v>
      </c>
      <c r="C202" s="2" t="s">
        <v>1263</v>
      </c>
      <c r="D202" t="s">
        <v>967</v>
      </c>
      <c r="E202" t="s">
        <v>968</v>
      </c>
      <c r="F202" t="s">
        <v>60</v>
      </c>
      <c r="H202" t="s">
        <v>969</v>
      </c>
      <c r="I202" t="s">
        <v>17</v>
      </c>
      <c r="J202" t="s">
        <v>970</v>
      </c>
      <c r="K202" t="s">
        <v>971</v>
      </c>
      <c r="L202" t="s">
        <v>972</v>
      </c>
    </row>
    <row r="203" spans="1:12" x14ac:dyDescent="0.25">
      <c r="A203" t="s">
        <v>973</v>
      </c>
      <c r="B203">
        <v>-14.6833333333333</v>
      </c>
      <c r="C203" s="2" t="s">
        <v>1264</v>
      </c>
      <c r="D203" t="s">
        <v>974</v>
      </c>
      <c r="E203" t="s">
        <v>975</v>
      </c>
      <c r="F203" t="s">
        <v>60</v>
      </c>
      <c r="H203" t="s">
        <v>976</v>
      </c>
      <c r="I203" t="s">
        <v>17</v>
      </c>
      <c r="J203" t="s">
        <v>977</v>
      </c>
      <c r="K203" t="s">
        <v>978</v>
      </c>
      <c r="L203" t="s">
        <v>979</v>
      </c>
    </row>
    <row r="204" spans="1:12" x14ac:dyDescent="0.25">
      <c r="A204" t="s">
        <v>980</v>
      </c>
      <c r="B204">
        <v>-14.633333333333301</v>
      </c>
      <c r="C204" s="2" t="s">
        <v>1265</v>
      </c>
      <c r="D204" t="s">
        <v>981</v>
      </c>
      <c r="E204" t="s">
        <v>982</v>
      </c>
      <c r="F204" t="s">
        <v>29</v>
      </c>
      <c r="H204" t="s">
        <v>983</v>
      </c>
      <c r="I204" t="s">
        <v>16</v>
      </c>
      <c r="J204" t="s">
        <v>984</v>
      </c>
      <c r="K204" t="s">
        <v>985</v>
      </c>
      <c r="L204" t="s">
        <v>986</v>
      </c>
    </row>
    <row r="205" spans="1:12" x14ac:dyDescent="0.25">
      <c r="A205" t="s">
        <v>987</v>
      </c>
      <c r="B205">
        <v>-14.883333333333301</v>
      </c>
      <c r="C205" s="2" t="s">
        <v>1258</v>
      </c>
      <c r="D205" t="s">
        <v>961</v>
      </c>
      <c r="E205" t="s">
        <v>968</v>
      </c>
      <c r="F205" t="s">
        <v>60</v>
      </c>
      <c r="G205" t="s">
        <v>29</v>
      </c>
      <c r="H205" t="s">
        <v>988</v>
      </c>
      <c r="I205" t="s">
        <v>17</v>
      </c>
      <c r="J205" t="s">
        <v>715</v>
      </c>
      <c r="K205" t="s">
        <v>989</v>
      </c>
      <c r="L205" t="s">
        <v>990</v>
      </c>
    </row>
    <row r="206" spans="1:12" x14ac:dyDescent="0.25">
      <c r="A206" t="s">
        <v>991</v>
      </c>
      <c r="B206">
        <v>-14.95</v>
      </c>
      <c r="C206" s="2" t="s">
        <v>1266</v>
      </c>
      <c r="D206" t="s">
        <v>992</v>
      </c>
      <c r="E206" t="s">
        <v>993</v>
      </c>
      <c r="F206" t="s">
        <v>39</v>
      </c>
      <c r="G206" t="s">
        <v>60</v>
      </c>
      <c r="H206" t="s">
        <v>994</v>
      </c>
      <c r="I206" t="s">
        <v>16</v>
      </c>
      <c r="J206" t="s">
        <v>995</v>
      </c>
      <c r="K206" t="s">
        <v>996</v>
      </c>
      <c r="L206" t="s">
        <v>997</v>
      </c>
    </row>
    <row r="207" spans="1:12" x14ac:dyDescent="0.25">
      <c r="A207" t="s">
        <v>998</v>
      </c>
      <c r="B207">
        <v>-14.883333333333301</v>
      </c>
      <c r="C207">
        <v>28.5</v>
      </c>
      <c r="D207" t="s">
        <v>961</v>
      </c>
      <c r="E207" t="s">
        <v>999</v>
      </c>
      <c r="F207" t="s">
        <v>60</v>
      </c>
      <c r="H207" t="s">
        <v>1000</v>
      </c>
      <c r="I207" t="s">
        <v>17</v>
      </c>
      <c r="J207" t="s">
        <v>1001</v>
      </c>
      <c r="K207" t="s">
        <v>1002</v>
      </c>
      <c r="L207" t="s">
        <v>1003</v>
      </c>
    </row>
    <row r="208" spans="1:12" x14ac:dyDescent="0.25">
      <c r="A208" t="s">
        <v>1004</v>
      </c>
      <c r="B208">
        <v>-14.7666666666666</v>
      </c>
      <c r="C208">
        <v>28.05</v>
      </c>
      <c r="D208" t="s">
        <v>967</v>
      </c>
      <c r="E208" t="s">
        <v>1005</v>
      </c>
      <c r="F208" t="s">
        <v>60</v>
      </c>
      <c r="H208" t="s">
        <v>25</v>
      </c>
      <c r="I208" t="s">
        <v>17</v>
      </c>
      <c r="J208" t="s">
        <v>715</v>
      </c>
      <c r="K208" t="s">
        <v>1006</v>
      </c>
      <c r="L208" t="s">
        <v>1007</v>
      </c>
    </row>
    <row r="209" spans="1:12" x14ac:dyDescent="0.25">
      <c r="A209" t="s">
        <v>1008</v>
      </c>
      <c r="B209">
        <v>-13.8705555555555</v>
      </c>
      <c r="C209">
        <v>29.925000000000001</v>
      </c>
      <c r="D209" t="s">
        <v>1009</v>
      </c>
      <c r="E209" t="s">
        <v>1010</v>
      </c>
      <c r="F209" t="s">
        <v>60</v>
      </c>
      <c r="H209" t="s">
        <v>1011</v>
      </c>
      <c r="I209" t="s">
        <v>16</v>
      </c>
      <c r="J209" t="s">
        <v>699</v>
      </c>
      <c r="K209" t="s">
        <v>1012</v>
      </c>
      <c r="L209" t="s">
        <v>1013</v>
      </c>
    </row>
    <row r="210" spans="1:12" x14ac:dyDescent="0.25">
      <c r="A210" t="s">
        <v>1014</v>
      </c>
      <c r="B210">
        <v>-14.5</v>
      </c>
      <c r="C210" s="2" t="s">
        <v>1132</v>
      </c>
      <c r="D210" t="s">
        <v>1015</v>
      </c>
      <c r="E210" t="s">
        <v>1016</v>
      </c>
      <c r="F210" t="s">
        <v>388</v>
      </c>
      <c r="H210" t="s">
        <v>25</v>
      </c>
      <c r="I210" t="s">
        <v>17</v>
      </c>
      <c r="J210" t="s">
        <v>1017</v>
      </c>
      <c r="K210" t="s">
        <v>1018</v>
      </c>
      <c r="L210" t="s">
        <v>1019</v>
      </c>
    </row>
    <row r="211" spans="1:12" x14ac:dyDescent="0.25">
      <c r="A211" t="s">
        <v>1020</v>
      </c>
      <c r="B211">
        <v>-14.637499999999999</v>
      </c>
      <c r="C211" s="2" t="s">
        <v>1267</v>
      </c>
      <c r="D211" t="s">
        <v>1021</v>
      </c>
      <c r="E211" t="s">
        <v>1022</v>
      </c>
      <c r="F211" t="s">
        <v>60</v>
      </c>
      <c r="H211" t="s">
        <v>1023</v>
      </c>
      <c r="I211" t="s">
        <v>17</v>
      </c>
      <c r="J211" t="s">
        <v>699</v>
      </c>
      <c r="K211" t="s">
        <v>1024</v>
      </c>
      <c r="L211" t="s">
        <v>1025</v>
      </c>
    </row>
    <row r="212" spans="1:12" x14ac:dyDescent="0.25">
      <c r="A212" t="s">
        <v>1026</v>
      </c>
      <c r="B212">
        <v>-14.5</v>
      </c>
      <c r="C212" s="2" t="s">
        <v>1268</v>
      </c>
      <c r="D212" t="s">
        <v>1027</v>
      </c>
      <c r="E212" t="s">
        <v>1028</v>
      </c>
      <c r="F212" t="s">
        <v>39</v>
      </c>
      <c r="G212" t="s">
        <v>1029</v>
      </c>
      <c r="H212" t="s">
        <v>1030</v>
      </c>
      <c r="I212" t="s">
        <v>16</v>
      </c>
      <c r="J212" t="s">
        <v>1031</v>
      </c>
      <c r="K212" t="s">
        <v>1032</v>
      </c>
      <c r="L212" t="s">
        <v>1033</v>
      </c>
    </row>
    <row r="213" spans="1:12" x14ac:dyDescent="0.25">
      <c r="A213" t="s">
        <v>1034</v>
      </c>
      <c r="B213">
        <v>-13.75</v>
      </c>
      <c r="C213">
        <v>29</v>
      </c>
      <c r="D213" t="s">
        <v>1035</v>
      </c>
      <c r="E213" t="s">
        <v>1036</v>
      </c>
      <c r="F213" t="s">
        <v>29</v>
      </c>
      <c r="G213" t="s">
        <v>482</v>
      </c>
      <c r="H213" t="s">
        <v>1037</v>
      </c>
      <c r="I213" t="s">
        <v>16</v>
      </c>
      <c r="J213" t="s">
        <v>1038</v>
      </c>
      <c r="K213" t="s">
        <v>1039</v>
      </c>
      <c r="L213" t="s">
        <v>1040</v>
      </c>
    </row>
    <row r="214" spans="1:12" x14ac:dyDescent="0.25">
      <c r="A214" t="s">
        <v>1041</v>
      </c>
      <c r="B214">
        <v>-14.3333333333333</v>
      </c>
      <c r="C214" s="2" t="s">
        <v>1269</v>
      </c>
      <c r="D214" t="s">
        <v>1042</v>
      </c>
      <c r="E214" t="s">
        <v>1043</v>
      </c>
      <c r="F214" t="s">
        <v>60</v>
      </c>
      <c r="G214" t="s">
        <v>571</v>
      </c>
      <c r="H214" t="s">
        <v>462</v>
      </c>
      <c r="I214" t="s">
        <v>16</v>
      </c>
      <c r="J214" t="s">
        <v>23</v>
      </c>
      <c r="K214" t="s">
        <v>1044</v>
      </c>
      <c r="L214" t="s">
        <v>1045</v>
      </c>
    </row>
    <row r="215" spans="1:12" x14ac:dyDescent="0.25">
      <c r="A215" t="s">
        <v>1046</v>
      </c>
      <c r="B215">
        <v>-14.3333333333333</v>
      </c>
      <c r="C215" s="2" t="s">
        <v>1269</v>
      </c>
      <c r="D215" t="s">
        <v>1047</v>
      </c>
      <c r="E215" t="s">
        <v>1048</v>
      </c>
      <c r="F215" t="s">
        <v>129</v>
      </c>
      <c r="G215" t="s">
        <v>241</v>
      </c>
      <c r="H215" t="s">
        <v>29</v>
      </c>
      <c r="I215" t="s">
        <v>17</v>
      </c>
      <c r="J215" t="s">
        <v>1049</v>
      </c>
      <c r="K215" t="s">
        <v>1050</v>
      </c>
      <c r="L215" t="s">
        <v>1051</v>
      </c>
    </row>
    <row r="216" spans="1:12" x14ac:dyDescent="0.25">
      <c r="A216" t="s">
        <v>919</v>
      </c>
      <c r="B216">
        <v>-14.466666666666599</v>
      </c>
      <c r="C216" s="2" t="s">
        <v>1254</v>
      </c>
      <c r="D216" t="s">
        <v>934</v>
      </c>
      <c r="E216" t="s">
        <v>935</v>
      </c>
      <c r="F216" t="s">
        <v>129</v>
      </c>
      <c r="G216" t="s">
        <v>241</v>
      </c>
      <c r="H216" t="s">
        <v>462</v>
      </c>
      <c r="I216" t="s">
        <v>17</v>
      </c>
      <c r="J216" t="s">
        <v>936</v>
      </c>
      <c r="K216" t="s">
        <v>937</v>
      </c>
      <c r="L216" t="s">
        <v>938</v>
      </c>
    </row>
    <row r="217" spans="1:12" x14ac:dyDescent="0.25">
      <c r="A217" t="s">
        <v>926</v>
      </c>
      <c r="B217">
        <v>-14.4166666666666</v>
      </c>
      <c r="C217" s="2" t="s">
        <v>1260</v>
      </c>
      <c r="D217" t="s">
        <v>914</v>
      </c>
      <c r="E217" t="s">
        <v>927</v>
      </c>
      <c r="F217" t="s">
        <v>129</v>
      </c>
      <c r="G217" t="s">
        <v>241</v>
      </c>
      <c r="H217" t="s">
        <v>29</v>
      </c>
      <c r="I217" t="s">
        <v>16</v>
      </c>
      <c r="J217" t="s">
        <v>939</v>
      </c>
      <c r="K217" t="s">
        <v>940</v>
      </c>
      <c r="L217" t="s">
        <v>941</v>
      </c>
    </row>
    <row r="218" spans="1:12" x14ac:dyDescent="0.25">
      <c r="A218" t="s">
        <v>942</v>
      </c>
      <c r="B218">
        <v>-14.25</v>
      </c>
      <c r="C218">
        <v>28.25</v>
      </c>
      <c r="D218" t="s">
        <v>943</v>
      </c>
      <c r="E218" t="s">
        <v>944</v>
      </c>
      <c r="F218" t="s">
        <v>945</v>
      </c>
      <c r="G218" t="s">
        <v>129</v>
      </c>
      <c r="H218" t="s">
        <v>241</v>
      </c>
      <c r="I218" t="s">
        <v>16</v>
      </c>
      <c r="J218" t="s">
        <v>946</v>
      </c>
      <c r="K218" t="s">
        <v>947</v>
      </c>
      <c r="L218" t="s">
        <v>948</v>
      </c>
    </row>
    <row r="219" spans="1:12" x14ac:dyDescent="0.25">
      <c r="A219" t="s">
        <v>949</v>
      </c>
      <c r="B219">
        <v>-14.003888888888801</v>
      </c>
      <c r="C219" s="2" t="s">
        <v>1261</v>
      </c>
      <c r="D219" t="s">
        <v>950</v>
      </c>
      <c r="E219" t="s">
        <v>951</v>
      </c>
      <c r="F219" t="s">
        <v>39</v>
      </c>
      <c r="H219" t="s">
        <v>952</v>
      </c>
      <c r="I219" t="s">
        <v>17</v>
      </c>
      <c r="J219" t="s">
        <v>953</v>
      </c>
      <c r="K219" t="s">
        <v>954</v>
      </c>
      <c r="L219" t="s">
        <v>955</v>
      </c>
    </row>
    <row r="220" spans="1:12" x14ac:dyDescent="0.25">
      <c r="A220" t="s">
        <v>956</v>
      </c>
      <c r="B220">
        <v>-14.0166666666666</v>
      </c>
      <c r="C220" s="2" t="s">
        <v>1165</v>
      </c>
      <c r="D220" t="s">
        <v>908</v>
      </c>
      <c r="E220" t="s">
        <v>957</v>
      </c>
      <c r="F220" t="s">
        <v>129</v>
      </c>
      <c r="G220" t="s">
        <v>241</v>
      </c>
      <c r="H220" t="s">
        <v>482</v>
      </c>
      <c r="I220" t="s">
        <v>16</v>
      </c>
      <c r="J220" t="s">
        <v>958</v>
      </c>
      <c r="K220" t="s">
        <v>959</v>
      </c>
      <c r="L220" t="s">
        <v>888</v>
      </c>
    </row>
    <row r="221" spans="1:12" x14ac:dyDescent="0.25">
      <c r="A221" t="s">
        <v>960</v>
      </c>
      <c r="B221">
        <v>-14.8333333333333</v>
      </c>
      <c r="C221" s="2" t="s">
        <v>1262</v>
      </c>
      <c r="D221" t="s">
        <v>961</v>
      </c>
      <c r="E221" t="s">
        <v>962</v>
      </c>
      <c r="F221" t="s">
        <v>60</v>
      </c>
      <c r="H221" t="s">
        <v>963</v>
      </c>
      <c r="I221" t="s">
        <v>17</v>
      </c>
      <c r="J221" t="s">
        <v>715</v>
      </c>
      <c r="K221" t="s">
        <v>964</v>
      </c>
      <c r="L221" t="s">
        <v>965</v>
      </c>
    </row>
    <row r="222" spans="1:12" x14ac:dyDescent="0.25">
      <c r="A222" t="s">
        <v>966</v>
      </c>
      <c r="B222">
        <v>-14.7038888888888</v>
      </c>
      <c r="C222" s="2" t="s">
        <v>1263</v>
      </c>
      <c r="D222" t="s">
        <v>967</v>
      </c>
      <c r="E222" t="s">
        <v>968</v>
      </c>
      <c r="F222" t="s">
        <v>60</v>
      </c>
      <c r="H222" t="s">
        <v>969</v>
      </c>
      <c r="I222" t="s">
        <v>17</v>
      </c>
      <c r="J222" t="s">
        <v>970</v>
      </c>
      <c r="K222" t="s">
        <v>971</v>
      </c>
      <c r="L222" t="s">
        <v>972</v>
      </c>
    </row>
    <row r="223" spans="1:12" x14ac:dyDescent="0.25">
      <c r="A223" t="s">
        <v>973</v>
      </c>
      <c r="B223">
        <v>-14.6833333333333</v>
      </c>
      <c r="C223" s="2" t="s">
        <v>1264</v>
      </c>
      <c r="D223" t="s">
        <v>974</v>
      </c>
      <c r="E223" t="s">
        <v>975</v>
      </c>
      <c r="F223" t="s">
        <v>60</v>
      </c>
      <c r="H223" t="s">
        <v>976</v>
      </c>
      <c r="I223" t="s">
        <v>17</v>
      </c>
      <c r="J223" t="s">
        <v>977</v>
      </c>
      <c r="K223" t="s">
        <v>978</v>
      </c>
      <c r="L223" t="s">
        <v>979</v>
      </c>
    </row>
    <row r="224" spans="1:12" x14ac:dyDescent="0.25">
      <c r="A224" t="s">
        <v>980</v>
      </c>
      <c r="B224">
        <v>-14.633333333333301</v>
      </c>
      <c r="C224" s="2" t="s">
        <v>1265</v>
      </c>
      <c r="D224" t="s">
        <v>981</v>
      </c>
      <c r="E224" t="s">
        <v>982</v>
      </c>
      <c r="F224" t="s">
        <v>29</v>
      </c>
      <c r="H224" t="s">
        <v>983</v>
      </c>
      <c r="I224" t="s">
        <v>16</v>
      </c>
      <c r="J224" t="s">
        <v>984</v>
      </c>
      <c r="K224" t="s">
        <v>985</v>
      </c>
      <c r="L224" t="s">
        <v>986</v>
      </c>
    </row>
    <row r="225" spans="1:12" x14ac:dyDescent="0.25">
      <c r="A225" t="s">
        <v>987</v>
      </c>
      <c r="B225">
        <v>-14.883333333333301</v>
      </c>
      <c r="C225" s="2" t="s">
        <v>1258</v>
      </c>
      <c r="D225" t="s">
        <v>961</v>
      </c>
      <c r="E225" t="s">
        <v>968</v>
      </c>
      <c r="F225" t="s">
        <v>60</v>
      </c>
      <c r="G225" t="s">
        <v>29</v>
      </c>
      <c r="H225" t="s">
        <v>988</v>
      </c>
      <c r="I225" t="s">
        <v>17</v>
      </c>
      <c r="J225" t="s">
        <v>715</v>
      </c>
      <c r="K225" t="s">
        <v>989</v>
      </c>
      <c r="L225" t="s">
        <v>990</v>
      </c>
    </row>
    <row r="226" spans="1:12" x14ac:dyDescent="0.25">
      <c r="A226" t="s">
        <v>991</v>
      </c>
      <c r="B226">
        <v>-14.95</v>
      </c>
      <c r="C226" s="2" t="s">
        <v>1266</v>
      </c>
      <c r="D226" t="s">
        <v>992</v>
      </c>
      <c r="E226" t="s">
        <v>993</v>
      </c>
      <c r="F226" t="s">
        <v>39</v>
      </c>
      <c r="G226" t="s">
        <v>60</v>
      </c>
      <c r="H226" t="s">
        <v>994</v>
      </c>
      <c r="I226" t="s">
        <v>16</v>
      </c>
      <c r="J226" t="s">
        <v>995</v>
      </c>
      <c r="K226" t="s">
        <v>996</v>
      </c>
      <c r="L226" t="s">
        <v>997</v>
      </c>
    </row>
    <row r="227" spans="1:12" x14ac:dyDescent="0.25">
      <c r="A227" t="s">
        <v>998</v>
      </c>
      <c r="B227">
        <v>-14.883333333333301</v>
      </c>
      <c r="C227">
        <v>28.5</v>
      </c>
      <c r="D227" t="s">
        <v>961</v>
      </c>
      <c r="E227" t="s">
        <v>999</v>
      </c>
      <c r="F227" t="s">
        <v>60</v>
      </c>
      <c r="H227" t="s">
        <v>1000</v>
      </c>
      <c r="I227" t="s">
        <v>17</v>
      </c>
      <c r="J227" t="s">
        <v>1001</v>
      </c>
      <c r="K227" t="s">
        <v>1002</v>
      </c>
      <c r="L227" t="s">
        <v>1003</v>
      </c>
    </row>
    <row r="228" spans="1:12" x14ac:dyDescent="0.25">
      <c r="A228" t="s">
        <v>1004</v>
      </c>
      <c r="B228">
        <v>-14.7666666666666</v>
      </c>
      <c r="C228">
        <v>28.05</v>
      </c>
      <c r="D228" t="s">
        <v>967</v>
      </c>
      <c r="E228" t="s">
        <v>1005</v>
      </c>
      <c r="F228" t="s">
        <v>60</v>
      </c>
      <c r="H228" t="s">
        <v>25</v>
      </c>
      <c r="I228" t="s">
        <v>17</v>
      </c>
      <c r="J228" t="s">
        <v>715</v>
      </c>
      <c r="K228" t="s">
        <v>1006</v>
      </c>
      <c r="L228" t="s">
        <v>1007</v>
      </c>
    </row>
    <row r="229" spans="1:12" x14ac:dyDescent="0.25">
      <c r="A229" t="s">
        <v>1008</v>
      </c>
      <c r="B229">
        <v>-13.8705555555555</v>
      </c>
      <c r="C229">
        <v>29.925000000000001</v>
      </c>
      <c r="D229" t="s">
        <v>1009</v>
      </c>
      <c r="E229" t="s">
        <v>1010</v>
      </c>
      <c r="F229" t="s">
        <v>60</v>
      </c>
      <c r="H229" t="s">
        <v>1011</v>
      </c>
      <c r="I229" t="s">
        <v>16</v>
      </c>
      <c r="J229" t="s">
        <v>699</v>
      </c>
      <c r="K229" t="s">
        <v>1012</v>
      </c>
      <c r="L229" t="s">
        <v>1013</v>
      </c>
    </row>
    <row r="230" spans="1:12" x14ac:dyDescent="0.25">
      <c r="A230" t="s">
        <v>1014</v>
      </c>
      <c r="B230">
        <v>-14.5</v>
      </c>
      <c r="C230" s="2" t="s">
        <v>1132</v>
      </c>
      <c r="D230" t="s">
        <v>1015</v>
      </c>
      <c r="E230" t="s">
        <v>1016</v>
      </c>
      <c r="F230" t="s">
        <v>388</v>
      </c>
      <c r="H230" t="s">
        <v>25</v>
      </c>
      <c r="I230" t="s">
        <v>17</v>
      </c>
      <c r="J230" t="s">
        <v>1017</v>
      </c>
      <c r="K230" t="s">
        <v>1018</v>
      </c>
      <c r="L230" t="s">
        <v>1019</v>
      </c>
    </row>
    <row r="231" spans="1:12" x14ac:dyDescent="0.25">
      <c r="A231" t="s">
        <v>1020</v>
      </c>
      <c r="B231">
        <v>-14.637499999999999</v>
      </c>
      <c r="C231" s="2" t="s">
        <v>1267</v>
      </c>
      <c r="D231" t="s">
        <v>1021</v>
      </c>
      <c r="E231" t="s">
        <v>1022</v>
      </c>
      <c r="F231" t="s">
        <v>60</v>
      </c>
      <c r="H231" t="s">
        <v>1023</v>
      </c>
      <c r="I231" t="s">
        <v>17</v>
      </c>
      <c r="J231" t="s">
        <v>699</v>
      </c>
      <c r="K231" t="s">
        <v>1024</v>
      </c>
      <c r="L231" t="s">
        <v>1025</v>
      </c>
    </row>
    <row r="232" spans="1:12" x14ac:dyDescent="0.25">
      <c r="A232" t="s">
        <v>1026</v>
      </c>
      <c r="B232">
        <v>-14.5</v>
      </c>
      <c r="C232" s="2" t="s">
        <v>1268</v>
      </c>
      <c r="D232" t="s">
        <v>1027</v>
      </c>
      <c r="E232" t="s">
        <v>1028</v>
      </c>
      <c r="F232" t="s">
        <v>39</v>
      </c>
      <c r="G232" t="s">
        <v>1029</v>
      </c>
      <c r="H232" t="s">
        <v>1030</v>
      </c>
      <c r="I232" t="s">
        <v>16</v>
      </c>
      <c r="J232" t="s">
        <v>1031</v>
      </c>
      <c r="K232" t="s">
        <v>1032</v>
      </c>
      <c r="L232" t="s">
        <v>1033</v>
      </c>
    </row>
    <row r="233" spans="1:12" x14ac:dyDescent="0.25">
      <c r="A233" t="s">
        <v>1034</v>
      </c>
      <c r="B233">
        <v>-13.75</v>
      </c>
      <c r="C233">
        <v>29</v>
      </c>
      <c r="D233" t="s">
        <v>1035</v>
      </c>
      <c r="E233" t="s">
        <v>1036</v>
      </c>
      <c r="F233" t="s">
        <v>29</v>
      </c>
      <c r="G233" t="s">
        <v>482</v>
      </c>
      <c r="H233" t="s">
        <v>1037</v>
      </c>
      <c r="I233" t="s">
        <v>16</v>
      </c>
      <c r="J233" t="s">
        <v>1038</v>
      </c>
      <c r="K233" t="s">
        <v>1039</v>
      </c>
      <c r="L233" t="s">
        <v>1040</v>
      </c>
    </row>
    <row r="234" spans="1:12" x14ac:dyDescent="0.25">
      <c r="A234" t="s">
        <v>1041</v>
      </c>
      <c r="B234">
        <v>-14.3333333333333</v>
      </c>
      <c r="C234" s="2" t="s">
        <v>1269</v>
      </c>
      <c r="D234" t="s">
        <v>1042</v>
      </c>
      <c r="E234" t="s">
        <v>1043</v>
      </c>
      <c r="F234" t="s">
        <v>60</v>
      </c>
      <c r="G234" t="s">
        <v>571</v>
      </c>
      <c r="H234" t="s">
        <v>462</v>
      </c>
      <c r="I234" t="s">
        <v>16</v>
      </c>
      <c r="J234" t="s">
        <v>23</v>
      </c>
      <c r="K234" t="s">
        <v>1044</v>
      </c>
      <c r="L234" t="s">
        <v>1045</v>
      </c>
    </row>
    <row r="235" spans="1:12" x14ac:dyDescent="0.25">
      <c r="A235" t="s">
        <v>1046</v>
      </c>
      <c r="B235">
        <v>-14.3333333333333</v>
      </c>
      <c r="C235" s="2" t="s">
        <v>1269</v>
      </c>
      <c r="D235" t="s">
        <v>1047</v>
      </c>
      <c r="E235" t="s">
        <v>1048</v>
      </c>
      <c r="F235" t="s">
        <v>129</v>
      </c>
      <c r="G235" t="s">
        <v>241</v>
      </c>
      <c r="H235" t="s">
        <v>29</v>
      </c>
      <c r="I235" t="s">
        <v>16</v>
      </c>
      <c r="J235" t="s">
        <v>1052</v>
      </c>
      <c r="K235" t="s">
        <v>1044</v>
      </c>
      <c r="L235" t="s">
        <v>1053</v>
      </c>
    </row>
    <row r="236" spans="1:12" x14ac:dyDescent="0.25">
      <c r="A236" t="s">
        <v>1054</v>
      </c>
      <c r="B236">
        <v>-14.1833333333333</v>
      </c>
      <c r="C236" s="2" t="s">
        <v>1185</v>
      </c>
      <c r="D236" t="s">
        <v>1055</v>
      </c>
      <c r="E236" t="s">
        <v>1056</v>
      </c>
      <c r="F236" t="s">
        <v>60</v>
      </c>
      <c r="H236" t="s">
        <v>17</v>
      </c>
      <c r="I236" t="s">
        <v>17</v>
      </c>
      <c r="J236" t="s">
        <v>1057</v>
      </c>
      <c r="K236" t="s">
        <v>1058</v>
      </c>
      <c r="L236" t="s">
        <v>1059</v>
      </c>
    </row>
    <row r="237" spans="1:12" x14ac:dyDescent="0.25">
      <c r="A237" t="s">
        <v>1060</v>
      </c>
      <c r="B237">
        <v>-14.316666666666601</v>
      </c>
      <c r="C237" s="2" t="s">
        <v>1135</v>
      </c>
      <c r="D237" t="s">
        <v>1061</v>
      </c>
      <c r="E237" t="s">
        <v>1062</v>
      </c>
      <c r="F237" t="s">
        <v>29</v>
      </c>
      <c r="G237" t="s">
        <v>129</v>
      </c>
      <c r="H237" t="s">
        <v>241</v>
      </c>
      <c r="I237" t="s">
        <v>16</v>
      </c>
      <c r="J237" t="s">
        <v>1063</v>
      </c>
      <c r="K237" t="s">
        <v>1064</v>
      </c>
      <c r="L237" t="s">
        <v>1065</v>
      </c>
    </row>
    <row r="238" spans="1:12" x14ac:dyDescent="0.25">
      <c r="A238" t="s">
        <v>1066</v>
      </c>
      <c r="B238">
        <v>-14.503888888888801</v>
      </c>
      <c r="C238" s="2" t="s">
        <v>1270</v>
      </c>
      <c r="D238" t="s">
        <v>1067</v>
      </c>
      <c r="E238" t="s">
        <v>1068</v>
      </c>
      <c r="F238" t="s">
        <v>1069</v>
      </c>
      <c r="G238" t="s">
        <v>388</v>
      </c>
      <c r="H238" t="s">
        <v>1070</v>
      </c>
      <c r="I238" t="s">
        <v>17</v>
      </c>
      <c r="J238" t="s">
        <v>1071</v>
      </c>
      <c r="K238" t="s">
        <v>1072</v>
      </c>
      <c r="L238" t="s">
        <v>1073</v>
      </c>
    </row>
    <row r="239" spans="1:12" x14ac:dyDescent="0.25">
      <c r="A239" t="s">
        <v>1074</v>
      </c>
      <c r="B239">
        <v>-14.983333333333301</v>
      </c>
      <c r="C239" s="2" t="s">
        <v>1271</v>
      </c>
      <c r="D239" t="s">
        <v>1075</v>
      </c>
      <c r="E239" t="s">
        <v>1076</v>
      </c>
      <c r="F239" t="s">
        <v>60</v>
      </c>
      <c r="G239" t="s">
        <v>1077</v>
      </c>
      <c r="H239" t="s">
        <v>1078</v>
      </c>
      <c r="I239" t="s">
        <v>17</v>
      </c>
      <c r="J239" t="s">
        <v>1079</v>
      </c>
      <c r="K239" t="s">
        <v>1080</v>
      </c>
      <c r="L239" t="s">
        <v>1059</v>
      </c>
    </row>
    <row r="240" spans="1:12" x14ac:dyDescent="0.25">
      <c r="A240" t="s">
        <v>1081</v>
      </c>
      <c r="B240">
        <v>-14.754166666666601</v>
      </c>
      <c r="C240" s="2" t="s">
        <v>1272</v>
      </c>
      <c r="D240" t="s">
        <v>1082</v>
      </c>
      <c r="E240" t="s">
        <v>1083</v>
      </c>
      <c r="F240" t="s">
        <v>389</v>
      </c>
      <c r="G240" t="s">
        <v>388</v>
      </c>
      <c r="H240" t="s">
        <v>1069</v>
      </c>
      <c r="I240" t="s">
        <v>17</v>
      </c>
      <c r="J240" t="s">
        <v>17</v>
      </c>
      <c r="K240" t="s">
        <v>391</v>
      </c>
      <c r="L240" t="s">
        <v>1084</v>
      </c>
    </row>
    <row r="241" spans="1:12" x14ac:dyDescent="0.25">
      <c r="A241" t="s">
        <v>1085</v>
      </c>
      <c r="B241">
        <v>-14.5</v>
      </c>
      <c r="C241" s="2" t="s">
        <v>1273</v>
      </c>
      <c r="D241" t="s">
        <v>1086</v>
      </c>
      <c r="E241" t="s">
        <v>1087</v>
      </c>
      <c r="F241" t="s">
        <v>29</v>
      </c>
      <c r="G241" t="s">
        <v>107</v>
      </c>
      <c r="H241" t="s">
        <v>462</v>
      </c>
      <c r="I241" t="s">
        <v>16</v>
      </c>
      <c r="J241" t="s">
        <v>23</v>
      </c>
      <c r="K241" t="s">
        <v>1088</v>
      </c>
      <c r="L241" t="s">
        <v>1089</v>
      </c>
    </row>
    <row r="242" spans="1:12" x14ac:dyDescent="0.25">
      <c r="A242" t="s">
        <v>1090</v>
      </c>
      <c r="B242">
        <v>-14.0833333333333</v>
      </c>
      <c r="C242" s="2" t="s">
        <v>1274</v>
      </c>
      <c r="D242" t="s">
        <v>1091</v>
      </c>
      <c r="E242" t="s">
        <v>1092</v>
      </c>
      <c r="F242" t="s">
        <v>60</v>
      </c>
      <c r="H242" t="s">
        <v>1093</v>
      </c>
      <c r="I242" t="s">
        <v>17</v>
      </c>
      <c r="J242" t="s">
        <v>1094</v>
      </c>
      <c r="K242" t="s">
        <v>1095</v>
      </c>
      <c r="L242" t="s">
        <v>1059</v>
      </c>
    </row>
    <row r="243" spans="1:12" x14ac:dyDescent="0.25">
      <c r="A243" t="s">
        <v>1096</v>
      </c>
      <c r="B243">
        <v>-15.45</v>
      </c>
      <c r="C243">
        <v>26.5</v>
      </c>
      <c r="D243" t="s">
        <v>1097</v>
      </c>
      <c r="E243" t="s">
        <v>1098</v>
      </c>
      <c r="F243" t="s">
        <v>15</v>
      </c>
      <c r="H243" t="s">
        <v>1099</v>
      </c>
      <c r="I243" t="s">
        <v>17</v>
      </c>
      <c r="J243" t="s">
        <v>18</v>
      </c>
      <c r="K243" t="s">
        <v>1100</v>
      </c>
      <c r="L243" t="s">
        <v>757</v>
      </c>
    </row>
    <row r="244" spans="1:12" x14ac:dyDescent="0.25">
      <c r="A244" t="s">
        <v>1101</v>
      </c>
      <c r="B244">
        <v>-15.254166666666601</v>
      </c>
      <c r="C244" s="2" t="s">
        <v>1241</v>
      </c>
      <c r="D244" t="s">
        <v>1102</v>
      </c>
      <c r="E244" t="s">
        <v>1103</v>
      </c>
      <c r="F244" t="s">
        <v>39</v>
      </c>
      <c r="H244" t="s">
        <v>1104</v>
      </c>
      <c r="I244" t="s">
        <v>17</v>
      </c>
      <c r="J244" t="s">
        <v>1105</v>
      </c>
      <c r="K244" t="s">
        <v>1106</v>
      </c>
      <c r="L244" t="s">
        <v>1107</v>
      </c>
    </row>
    <row r="245" spans="1:12" x14ac:dyDescent="0.25">
      <c r="A245" t="s">
        <v>1108</v>
      </c>
      <c r="B245">
        <v>-15.254166666666601</v>
      </c>
      <c r="C245" s="2" t="s">
        <v>1275</v>
      </c>
      <c r="D245" t="s">
        <v>1109</v>
      </c>
      <c r="E245" t="s">
        <v>1110</v>
      </c>
      <c r="F245" t="s">
        <v>39</v>
      </c>
      <c r="H245" t="s">
        <v>1111</v>
      </c>
      <c r="I245" t="s">
        <v>16</v>
      </c>
      <c r="J245" t="s">
        <v>1112</v>
      </c>
      <c r="K245" t="s">
        <v>1113</v>
      </c>
      <c r="L245" t="s">
        <v>1114</v>
      </c>
    </row>
    <row r="246" spans="1:12" x14ac:dyDescent="0.25">
      <c r="A246" t="s">
        <v>1115</v>
      </c>
      <c r="B246">
        <v>-15.254166666666601</v>
      </c>
      <c r="C246" s="2" t="s">
        <v>1252</v>
      </c>
      <c r="D246" t="s">
        <v>1116</v>
      </c>
      <c r="E246" t="s">
        <v>1110</v>
      </c>
      <c r="F246" t="s">
        <v>39</v>
      </c>
      <c r="H246" t="s">
        <v>1111</v>
      </c>
      <c r="I246" t="s">
        <v>16</v>
      </c>
      <c r="J246" t="s">
        <v>1112</v>
      </c>
      <c r="K246" t="s">
        <v>1117</v>
      </c>
      <c r="L246" t="s">
        <v>1114</v>
      </c>
    </row>
    <row r="247" spans="1:12" x14ac:dyDescent="0.25">
      <c r="A247" t="s">
        <v>1118</v>
      </c>
      <c r="B247">
        <v>-15.283333333333299</v>
      </c>
      <c r="C247">
        <v>26.2</v>
      </c>
      <c r="D247" t="s">
        <v>1119</v>
      </c>
      <c r="E247" t="s">
        <v>1120</v>
      </c>
      <c r="F247" t="s">
        <v>15</v>
      </c>
      <c r="H247" t="s">
        <v>1121</v>
      </c>
      <c r="I247" t="s">
        <v>17</v>
      </c>
      <c r="J247" t="s">
        <v>1122</v>
      </c>
      <c r="K247" t="s">
        <v>1123</v>
      </c>
      <c r="L247" t="s">
        <v>1124</v>
      </c>
    </row>
    <row r="248" spans="1:12" x14ac:dyDescent="0.25">
      <c r="A248" t="s">
        <v>1125</v>
      </c>
      <c r="B248">
        <v>-15.1666666666666</v>
      </c>
      <c r="C248" s="2" t="s">
        <v>1276</v>
      </c>
      <c r="D248" t="s">
        <v>1126</v>
      </c>
      <c r="E248" t="s">
        <v>1127</v>
      </c>
      <c r="F248" t="s">
        <v>39</v>
      </c>
      <c r="H248" t="s">
        <v>1128</v>
      </c>
      <c r="I248" t="s">
        <v>17</v>
      </c>
      <c r="J248" t="s">
        <v>995</v>
      </c>
      <c r="K248" t="s">
        <v>1129</v>
      </c>
      <c r="L248" t="s">
        <v>1130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EB44-7932-4ED7-B2EC-420B271F3E93}">
  <dimension ref="G10:G21"/>
  <sheetViews>
    <sheetView tabSelected="1" workbookViewId="0">
      <selection activeCell="G10" sqref="G10:G21"/>
    </sheetView>
  </sheetViews>
  <sheetFormatPr defaultRowHeight="15" x14ac:dyDescent="0.25"/>
  <cols>
    <col min="7" max="7" width="28" bestFit="1" customWidth="1"/>
  </cols>
  <sheetData>
    <row r="10" spans="7:7" x14ac:dyDescent="0.25">
      <c r="G10" s="3" t="s">
        <v>0</v>
      </c>
    </row>
    <row r="11" spans="7:7" x14ac:dyDescent="0.25">
      <c r="G11" s="3" t="s">
        <v>1</v>
      </c>
    </row>
    <row r="12" spans="7:7" x14ac:dyDescent="0.25">
      <c r="G12" s="3" t="s">
        <v>2</v>
      </c>
    </row>
    <row r="13" spans="7:7" x14ac:dyDescent="0.25">
      <c r="G13" s="3" t="s">
        <v>3</v>
      </c>
    </row>
    <row r="14" spans="7:7" x14ac:dyDescent="0.25">
      <c r="G14" s="3" t="s">
        <v>4</v>
      </c>
    </row>
    <row r="15" spans="7:7" x14ac:dyDescent="0.25">
      <c r="G15" s="3" t="s">
        <v>5</v>
      </c>
    </row>
    <row r="16" spans="7:7" x14ac:dyDescent="0.25">
      <c r="G16" s="3" t="s">
        <v>6</v>
      </c>
    </row>
    <row r="17" spans="7:7" x14ac:dyDescent="0.25">
      <c r="G17" s="3" t="s">
        <v>7</v>
      </c>
    </row>
    <row r="18" spans="7:7" x14ac:dyDescent="0.25">
      <c r="G18" s="3" t="s">
        <v>8</v>
      </c>
    </row>
    <row r="19" spans="7:7" x14ac:dyDescent="0.25">
      <c r="G19" s="3" t="s">
        <v>9</v>
      </c>
    </row>
    <row r="20" spans="7:7" x14ac:dyDescent="0.25">
      <c r="G20" s="3" t="s">
        <v>10</v>
      </c>
    </row>
    <row r="21" spans="7:7" x14ac:dyDescent="0.25">
      <c r="G21"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Phiri</cp:lastModifiedBy>
  <dcterms:created xsi:type="dcterms:W3CDTF">2025-11-22T11:29:13Z</dcterms:created>
  <dcterms:modified xsi:type="dcterms:W3CDTF">2025-12-02T22:09:38Z</dcterms:modified>
</cp:coreProperties>
</file>